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D6A504C6-0F50-4CB9-83DE-E8438D8D443F}" xr6:coauthVersionLast="47" xr6:coauthVersionMax="47" xr10:uidLastSave="{00000000-0000-0000-0000-000000000000}"/>
  <bookViews>
    <workbookView xWindow="-120" yWindow="-120" windowWidth="29040" windowHeight="15840" xr2:uid="{2C4187FD-314B-4A57-B921-9F51E12A3E02}"/>
  </bookViews>
  <sheets>
    <sheet name="PLA-NOD" sheetId="2" r:id="rId1"/>
  </sheets>
  <definedNames>
    <definedName name="_xlnm.Print_Area" localSheetId="0">'PLA-NOD'!$A$1:$H$70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<sst xmlns="http://schemas.openxmlformats.org/spreadsheetml/2006/main" count="96" uniqueCount="96">
  <si>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</si>
  <si>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</si>
  <si>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</si>
  <si>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</si>
  <si>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</si>
  <si>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ELABORACIÓN PLANOS Y EN FORMATO DWG DE 12 NODOS DEL GRUPO B DEL PREDIO</t>
  </si>
  <si>
    <t>Proyecto:</t>
  </si>
  <si>
    <t>Elaboracion de Planos de los 12 NODOS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</si>
  <si>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</si>
  <si>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</si>
  <si>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</si>
  <si>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</si>
  <si>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</si>
  <si>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</si>
  <si>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</si>
  <si>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</si>
  <si>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</si>
  <si>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</si>
  <si>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</si>
  <si>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</si>
  <si>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 xml:space="preserve">1.2 Guia de documentos tecnicos y sistema satelital </t>
  </si>
  <si>
    <t>1.4 Tasación de Inmueble</t>
  </si>
  <si>
    <t>A. Desarrollo de Planos</t>
  </si>
  <si>
    <t>A.1 Anteproyecto (Hasta 3 Diseños)</t>
  </si>
  <si>
    <t>A.11 Ubicación Coordenadas PSAD56</t>
  </si>
  <si>
    <t>A.2 Plano perimetrico coordenadas PSAAD56 o WGS84</t>
  </si>
  <si>
    <t>A.2 Ubicación Coordenadas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</si>
  <si>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</si>
  <si>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</si>
  <si>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</si>
  <si>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</si>
  <si>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</si>
  <si>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</si>
  <si>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</si>
  <si>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</si>
  <si>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</si>
  <si>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</si>
  <si>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</si>
  <si>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B.2 Solicitud y Memoria Descriptiva SUNARP</t>
  </si>
  <si>
    <t>B.16. Predio Collique Bajo - 83.93 m2</t>
  </si>
  <si>
    <t>B.3 Grupo B ( 12 NODOS)</t>
  </si>
  <si>
    <t>B.17 Predio Culpon - 81.10 m2</t>
  </si>
  <si>
    <t>B.18 Predio Espinal - 85.69 m2</t>
  </si>
  <si>
    <t>B.4 Grupo C ( 14 NODOS)</t>
  </si>
  <si>
    <t>B.19 Predio Guayaquil - 60.52 m2</t>
  </si>
  <si>
    <t>B.5 Grupo D ( 16 NODOS)</t>
  </si>
  <si>
    <t>B.20 Predio Huaca Rajada - 81.65 m2</t>
  </si>
  <si>
    <t>B.21 Predio La Aviacion - 85.68 m2</t>
  </si>
  <si>
    <t>B.6 Grupo E ( 10 NODOS)</t>
  </si>
  <si>
    <t>B.22 Predio La compuerta - 67.70 m2</t>
  </si>
  <si>
    <t>B.7 Informe Tecnico de Verificación</t>
  </si>
  <si>
    <t xml:space="preserve">B.8 Declaracion(es) Jurada(s) </t>
  </si>
  <si>
    <t>B.23 Predio La Curva - 67.80 m2</t>
  </si>
  <si>
    <t>B.9 Anexo Nº 1 SUNARP</t>
  </si>
  <si>
    <t>B.24 Predio La Estancia - 84.58 m2</t>
  </si>
  <si>
    <t>B.10 Anexo Nº 4 SUNARP</t>
  </si>
  <si>
    <t>B.25 Predio La Otra Banda - 67.80 m2</t>
  </si>
  <si>
    <t>B.11 Subsanacion de observaciones SUNARP (si fuera el caso)</t>
  </si>
  <si>
    <t>B.12 FUE (Formulario Unico de Edifcaciones)</t>
  </si>
  <si>
    <t>B.26 Predio La Viña Zona 7 - 73.13 m2</t>
  </si>
  <si>
    <t>B.13 Memoria descriptiva</t>
  </si>
  <si>
    <t>B.27 Predio Macuaco  - 85.49 m2</t>
  </si>
  <si>
    <t>B.14 Sucesión Intestada</t>
  </si>
  <si>
    <t>2.- ALCANCES: ENTREGA DE DOCUMENTOS FIRMADOS – PROFESIONALES VIGENTES</t>
  </si>
  <si>
    <t>2.1 Planos en CAD y pdf  1 Original, firmado por el Profesional</t>
  </si>
  <si>
    <t>2.3 Investigacion Antecedentes de Inmueble SUNARP</t>
  </si>
  <si>
    <t xml:space="preserve">Profesional Habilitado Certificado Vigente y </t>
  </si>
  <si>
    <t>2.4 Servicio de Tramitación de expediente ante</t>
  </si>
  <si>
    <t>en formato DWG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</si>
  <si>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</si>
  <si>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</si>
  <si>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</si>
  <si>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</si>
  <si>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</si>
  <si>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</si>
  <si>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</si>
  <si>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</si>
  <si>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</si>
  <si>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</si>
  <si>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envio de planos en pdf y en formato DWG al cliente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</si>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</sst>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3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0" xfId="0" applyFont="1" applyFill="1" applyAlignment="1" applyProtection="1">
      <alignment horizontal="left" vertical="center"/>
      <protection hidden="1"/>
    </xf>
    <xf numFmtId="0" fontId="16" fillId="5" borderId="3" xfId="0" applyFont="1" applyFill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4" borderId="12" xfId="0" applyFont="1" applyFill="1" applyBorder="1" applyAlignment="1" applyProtection="1">
      <alignment horizontal="left" vertical="center"/>
      <protection hidden="1"/>
    </xf>
    <xf numFmtId="0" fontId="12" fillId="4" borderId="4" xfId="0" applyFont="1" applyFill="1" applyBorder="1" applyAlignment="1" applyProtection="1">
      <alignment horizontal="left" vertical="center"/>
      <protection hidden="1"/>
    </xf>
    <xf numFmtId="0" fontId="12" fillId="4" borderId="13" xfId="0" applyFont="1" applyFill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/>
    <xf numFmtId="0" fontId="8" fillId="3" borderId="0" xfId="0" applyFont="1" applyFill="1"/>
    <xf numFmtId="0" fontId="8" fillId="3" borderId="3" xfId="0" applyFont="1" applyFill="1" applyBorder="1"/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8" fillId="3" borderId="9" xfId="0" applyFont="1" applyFill="1" applyBorder="1" applyAlignment="1" applyProtection="1">
      <alignment horizontal="left" vertical="top" wrapText="1"/>
      <protection hidden="1"/>
    </xf>
    <xf numFmtId="0" fontId="8" fillId="3" borderId="0" xfId="0" applyFont="1" applyFill="1" applyAlignment="1" applyProtection="1">
      <alignment horizontal="left" vertical="top" wrapText="1"/>
      <protection hidden="1"/>
    </xf>
    <xf numFmtId="0" fontId="8" fillId="3" borderId="3" xfId="0" applyFont="1" applyFill="1" applyBorder="1" applyAlignment="1" applyProtection="1">
      <alignment horizontal="left" vertical="top" wrapText="1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3" xfId="0" applyFont="1" applyFill="1" applyBorder="1" applyAlignment="1" applyProtection="1">
      <alignment vertical="top"/>
      <protection hidden="1"/>
    </xf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/>
    <xf numFmtId="0" fontId="12" fillId="0" borderId="0" xfId="0" applyFont="1"/>
    <xf numFmtId="0" fontId="12" fillId="0" borderId="3" xfId="0" applyFont="1" applyBorder="1"/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7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8" fillId="3" borderId="9" xfId="0" applyFont="1" applyFill="1" applyBorder="1" applyAlignment="1" applyProtection="1">
      <alignment horizontal="left" vertical="center"/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0" fontId="8" fillId="3" borderId="3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BB5FB99-F480-4C38-8BD4-C4E3023AA871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DD64FD1D-C7E0-4253-BD29-C7B725D05822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E9999E2D-7090-4E68-9E31-2EB3DB8BA18B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192D25B7-CD81-45FE-8614-6C7A343CE1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DD171FB0-7B19-4958-9FCC-7BB1CDFCC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64735923-9C13-4EAA-8B09-8BC5D21FE05E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703CE515-C0DD-4E53-897B-E82D6BBD6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04E46AD-183C-4F0F-AB8D-1D8BCDB48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93E1-FB07-4813-ADC9-33CB6067CB19}">
  <sheetPr>
    <tabColor theme="1"/>
    <pageSetUpPr fitToPage="1"/>
  </sheetPr>
  <dimension ref="A3:H77"/>
  <sheetViews>
    <sheetView showGridLines="0" tabSelected="1" showRuler="0" view="pageBreakPreview" topLeftCell="A59" zoomScale="160" zoomScaleNormal="50" zoomScaleSheetLayoutView="160" workbookViewId="0">
      <selection activeCell="E66" sqref="E66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7" t="s">
        <v>94</v>
      </c>
      <c r="E4" s="137"/>
      <c r="F4" s="137"/>
      <c r="G4" s="2"/>
    </row>
    <row r="5" spans="1:8" ht="11.25" customHeight="1" x14ac:dyDescent="0.25">
      <c r="C5" s="1" t="s">
        <v>2</v>
      </c>
      <c r="D5" s="138" t="s">
        <v>95</v>
      </c>
      <c r="E5" s="138"/>
      <c r="F5" s="138"/>
      <c r="G5" s="3"/>
    </row>
    <row r="6" spans="1:8" ht="11.25" customHeight="1" x14ac:dyDescent="0.25">
      <c r="C6" s="3" t="s">
        <v>3</v>
      </c>
      <c r="D6" s="139" t="s">
        <v>93</v>
      </c>
      <c r="E6" s="139"/>
      <c r="F6" s="139"/>
      <c r="G6" s="4"/>
    </row>
    <row r="7" spans="1:8" ht="12" customHeight="1" x14ac:dyDescent="0.25">
      <c r="C7" s="3" t="s">
        <v>4</v>
      </c>
      <c r="D7" s="140" t="s">
        <v>92</v>
      </c>
      <c r="E7" s="140"/>
      <c r="F7" s="140"/>
      <c r="G7" s="4"/>
    </row>
    <row r="8" spans="1:8" ht="10.5" customHeight="1" x14ac:dyDescent="0.25">
      <c r="A8" s="141"/>
      <c r="B8" s="141"/>
      <c r="C8" s="141"/>
      <c r="D8" s="141"/>
      <c r="E8" s="141"/>
      <c r="F8" s="141"/>
      <c r="G8" s="141"/>
      <c r="H8" s="141"/>
    </row>
    <row r="9" spans="1:8" s="5" customFormat="1" ht="15.95" customHeight="1" x14ac:dyDescent="0.25">
      <c r="B9" s="136" t="s">
        <v>5</v>
      </c>
      <c r="C9" s="136"/>
      <c r="D9" s="136"/>
      <c r="E9" s="136"/>
      <c r="F9" s="136"/>
      <c r="G9" s="136"/>
      <c r="H9" s="6"/>
    </row>
    <row r="10" spans="1:8" s="5" customFormat="1" ht="15.75" customHeight="1" x14ac:dyDescent="0.25">
      <c r="B10" s="136"/>
      <c r="C10" s="136"/>
      <c r="D10" s="136"/>
      <c r="E10" s="136"/>
      <c r="F10" s="136"/>
      <c r="G10" s="136"/>
      <c r="H10" s="6"/>
    </row>
    <row r="11" spans="1:8" s="11" customFormat="1" ht="12" customHeight="1" x14ac:dyDescent="0.25">
      <c r="A11" s="7" t="s">
        <v>6</v>
      </c>
      <c r="B11" s="124" t="s">
        <v>7</v>
      </c>
      <c r="C11" s="124"/>
      <c r="D11" s="124"/>
      <c r="E11" s="124"/>
      <c r="F11" s="8" t="s">
        <v>8</v>
      </c>
      <c r="G11" s="9"/>
      <c r="H11" s="10"/>
    </row>
    <row r="12" spans="1:8" s="11" customFormat="1" ht="12" customHeight="1" x14ac:dyDescent="0.25">
      <c r="A12" s="7"/>
      <c r="B12" s="124"/>
      <c r="C12" s="124"/>
      <c r="D12" s="124"/>
      <c r="E12" s="124"/>
      <c r="F12" s="124"/>
      <c r="G12" s="124"/>
      <c r="H12" s="10"/>
    </row>
    <row r="13" spans="1:8" s="11" customFormat="1" ht="12" customHeight="1" x14ac:dyDescent="0.25">
      <c r="A13" s="12"/>
      <c r="B13" s="124"/>
      <c r="C13" s="124"/>
      <c r="D13" s="124"/>
      <c r="E13" s="124"/>
      <c r="F13" s="124"/>
      <c r="G13" s="124"/>
      <c r="H13" s="10"/>
    </row>
    <row r="14" spans="1:8" s="11" customFormat="1" ht="12" customHeight="1" x14ac:dyDescent="0.25">
      <c r="A14" s="7" t="s">
        <v>91</v>
      </c>
      <c r="B14" s="45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4"/>
      <c r="C15" s="124"/>
      <c r="D15" s="124"/>
      <c r="E15" s="124"/>
      <c r="F15" s="13" t="s">
        <v>13</v>
      </c>
      <c r="G15" s="16"/>
      <c r="H15" s="10"/>
    </row>
    <row r="16" spans="1:8" s="11" customFormat="1" ht="12" customHeight="1" x14ac:dyDescent="0.25">
      <c r="A16" s="12"/>
      <c r="B16" s="125"/>
      <c r="C16" s="125"/>
      <c r="D16" s="125"/>
      <c r="E16" s="125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4"/>
      <c r="C17" s="124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26"/>
      <c r="C18" s="126"/>
      <c r="D18" s="126"/>
      <c r="E18" s="126"/>
      <c r="F18" s="126"/>
      <c r="G18" s="126"/>
      <c r="H18" s="20"/>
    </row>
    <row r="19" spans="1:8" s="23" customFormat="1" ht="12" customHeight="1" x14ac:dyDescent="0.25">
      <c r="A19" s="21"/>
      <c r="B19" s="127" t="s">
        <v>17</v>
      </c>
      <c r="C19" s="128"/>
      <c r="D19" s="129"/>
      <c r="E19" s="130"/>
      <c r="F19" s="130"/>
      <c r="G19" s="130"/>
      <c r="H19" s="22"/>
    </row>
    <row r="20" spans="1:8" s="23" customFormat="1" ht="12" customHeight="1" x14ac:dyDescent="0.25">
      <c r="A20" s="10"/>
      <c r="B20" s="131" t="s">
        <v>18</v>
      </c>
      <c r="C20" s="132"/>
      <c r="D20" s="133"/>
      <c r="E20" s="134" t="s">
        <v>19</v>
      </c>
      <c r="F20" s="134"/>
      <c r="G20" s="135"/>
      <c r="H20" s="10"/>
    </row>
    <row r="21" spans="1:8" s="23" customFormat="1" ht="12" customHeight="1" x14ac:dyDescent="0.25">
      <c r="A21" s="10"/>
      <c r="B21" s="118" t="s">
        <v>20</v>
      </c>
      <c r="C21" s="119"/>
      <c r="D21" s="120"/>
      <c r="E21" s="66" t="s">
        <v>21</v>
      </c>
      <c r="F21" s="66"/>
      <c r="G21" s="67"/>
      <c r="H21" s="10"/>
    </row>
    <row r="22" spans="1:8" s="23" customFormat="1" ht="12" customHeight="1" x14ac:dyDescent="0.25">
      <c r="A22" s="10"/>
      <c r="B22" s="58" t="s">
        <v>22</v>
      </c>
      <c r="C22" s="59"/>
      <c r="D22" s="59"/>
      <c r="E22" s="116"/>
      <c r="F22" s="116"/>
      <c r="G22" s="117"/>
      <c r="H22" s="10"/>
    </row>
    <row r="23" spans="1:8" s="23" customFormat="1" ht="12" customHeight="1" x14ac:dyDescent="0.25">
      <c r="A23" s="10"/>
      <c r="B23" s="65" t="s">
        <v>23</v>
      </c>
      <c r="C23" s="66"/>
      <c r="D23" s="67"/>
      <c r="E23" s="118" t="s">
        <v>24</v>
      </c>
      <c r="F23" s="119"/>
      <c r="G23" s="120"/>
      <c r="H23" s="10"/>
    </row>
    <row r="24" spans="1:8" s="23" customFormat="1" ht="12" customHeight="1" x14ac:dyDescent="0.25">
      <c r="A24" s="10"/>
      <c r="B24" s="118" t="s">
        <v>25</v>
      </c>
      <c r="C24" s="119"/>
      <c r="D24" s="120"/>
      <c r="E24" s="121" t="s">
        <v>26</v>
      </c>
      <c r="F24" s="122"/>
      <c r="G24" s="123"/>
      <c r="H24" s="10"/>
    </row>
    <row r="25" spans="1:8" s="23" customFormat="1" ht="12" customHeight="1" x14ac:dyDescent="0.25">
      <c r="A25" s="24"/>
      <c r="B25" s="65" t="s">
        <v>27</v>
      </c>
      <c r="C25" s="66"/>
      <c r="D25" s="67"/>
      <c r="E25" s="65" t="s">
        <v>28</v>
      </c>
      <c r="F25" s="66"/>
      <c r="G25" s="67"/>
      <c r="H25" s="10"/>
    </row>
    <row r="26" spans="1:8" s="23" customFormat="1" ht="12" customHeight="1" x14ac:dyDescent="0.25">
      <c r="A26" s="25"/>
      <c r="B26" s="65" t="s">
        <v>29</v>
      </c>
      <c r="C26" s="66"/>
      <c r="D26" s="67"/>
      <c r="E26" s="65" t="s">
        <v>30</v>
      </c>
      <c r="F26" s="66"/>
      <c r="G26" s="67"/>
      <c r="H26" s="10"/>
    </row>
    <row r="27" spans="1:8" s="23" customFormat="1" ht="12" customHeight="1" x14ac:dyDescent="0.25">
      <c r="A27" s="25"/>
      <c r="B27" s="73" t="s">
        <v>31</v>
      </c>
      <c r="C27" s="74"/>
      <c r="D27" s="75"/>
      <c r="E27" s="65" t="s">
        <v>32</v>
      </c>
      <c r="F27" s="66"/>
      <c r="G27" s="67"/>
      <c r="H27" s="10"/>
    </row>
    <row r="28" spans="1:8" s="23" customFormat="1" ht="12" customHeight="1" x14ac:dyDescent="0.25">
      <c r="A28" s="25"/>
      <c r="B28" s="73" t="s">
        <v>33</v>
      </c>
      <c r="C28" s="74"/>
      <c r="D28" s="75"/>
      <c r="E28" s="102" t="s">
        <v>34</v>
      </c>
      <c r="F28" s="103"/>
      <c r="G28" s="104"/>
      <c r="H28" s="10"/>
    </row>
    <row r="29" spans="1:8" s="23" customFormat="1" ht="12" customHeight="1" x14ac:dyDescent="0.25">
      <c r="A29" s="25"/>
      <c r="B29" s="58" t="s">
        <v>35</v>
      </c>
      <c r="C29" s="59"/>
      <c r="D29" s="59"/>
      <c r="E29" s="105"/>
      <c r="F29" s="105"/>
      <c r="G29" s="106"/>
      <c r="H29" s="10"/>
    </row>
    <row r="30" spans="1:8" s="23" customFormat="1" ht="12" customHeight="1" x14ac:dyDescent="0.25">
      <c r="A30" s="26"/>
      <c r="B30" s="107" t="s">
        <v>36</v>
      </c>
      <c r="C30" s="108"/>
      <c r="D30" s="109"/>
      <c r="E30" s="27" t="s">
        <v>37</v>
      </c>
      <c r="F30" s="28"/>
      <c r="G30" s="29"/>
      <c r="H30" s="10"/>
    </row>
    <row r="31" spans="1:8" s="23" customFormat="1" ht="12" customHeight="1" x14ac:dyDescent="0.25">
      <c r="A31" s="26"/>
      <c r="B31" s="73" t="s">
        <v>38</v>
      </c>
      <c r="C31" s="74"/>
      <c r="D31" s="75"/>
      <c r="E31" s="30" t="s">
        <v>39</v>
      </c>
      <c r="F31" s="31"/>
      <c r="G31" s="32"/>
      <c r="H31" s="10"/>
    </row>
    <row r="32" spans="1:8" s="23" customFormat="1" ht="12" customHeight="1" x14ac:dyDescent="0.25">
      <c r="A32" s="33"/>
      <c r="B32" s="96" t="s">
        <v>40</v>
      </c>
      <c r="C32" s="97"/>
      <c r="D32" s="98"/>
      <c r="E32" s="30" t="s">
        <v>41</v>
      </c>
      <c r="F32" s="31"/>
      <c r="G32" s="32"/>
      <c r="H32" s="10"/>
    </row>
    <row r="33" spans="1:8" s="23" customFormat="1" ht="12" customHeight="1" x14ac:dyDescent="0.25">
      <c r="A33" s="10"/>
      <c r="B33" s="96"/>
      <c r="C33" s="97"/>
      <c r="D33" s="98"/>
      <c r="E33" s="110" t="s">
        <v>42</v>
      </c>
      <c r="F33" s="111"/>
      <c r="G33" s="112"/>
      <c r="H33" s="10"/>
    </row>
    <row r="34" spans="1:8" s="23" customFormat="1" ht="12" customHeight="1" x14ac:dyDescent="0.25">
      <c r="A34" s="10"/>
      <c r="B34" s="73" t="s">
        <v>43</v>
      </c>
      <c r="C34" s="74"/>
      <c r="D34" s="75"/>
      <c r="E34" s="110" t="s">
        <v>44</v>
      </c>
      <c r="F34" s="111"/>
      <c r="G34" s="112"/>
      <c r="H34" s="10"/>
    </row>
    <row r="35" spans="1:8" s="23" customFormat="1" ht="12" customHeight="1" x14ac:dyDescent="0.25">
      <c r="A35" s="10"/>
      <c r="B35" s="113" t="s">
        <v>45</v>
      </c>
      <c r="C35" s="114"/>
      <c r="D35" s="115"/>
      <c r="E35" s="110" t="s">
        <v>46</v>
      </c>
      <c r="F35" s="111"/>
      <c r="G35" s="112"/>
      <c r="H35" s="10"/>
    </row>
    <row r="36" spans="1:8" s="23" customFormat="1" ht="12" customHeight="1" x14ac:dyDescent="0.25">
      <c r="A36" s="10"/>
      <c r="B36" s="113"/>
      <c r="C36" s="114"/>
      <c r="D36" s="115"/>
      <c r="E36" s="110" t="s">
        <v>47</v>
      </c>
      <c r="F36" s="111"/>
      <c r="G36" s="112"/>
      <c r="H36" s="10"/>
    </row>
    <row r="37" spans="1:8" s="23" customFormat="1" ht="12" customHeight="1" x14ac:dyDescent="0.25">
      <c r="A37" s="10"/>
      <c r="B37" s="99" t="s">
        <v>48</v>
      </c>
      <c r="C37" s="100"/>
      <c r="D37" s="101"/>
      <c r="E37" s="96" t="s">
        <v>49</v>
      </c>
      <c r="F37" s="97"/>
      <c r="G37" s="98"/>
      <c r="H37" s="10"/>
    </row>
    <row r="38" spans="1:8" s="23" customFormat="1" ht="12" customHeight="1" x14ac:dyDescent="0.25">
      <c r="A38" s="10"/>
      <c r="B38" s="73" t="s">
        <v>50</v>
      </c>
      <c r="C38" s="74"/>
      <c r="D38" s="75"/>
      <c r="E38" s="96"/>
      <c r="F38" s="97"/>
      <c r="G38" s="98"/>
      <c r="H38" s="10"/>
    </row>
    <row r="39" spans="1:8" s="23" customFormat="1" ht="12" customHeight="1" x14ac:dyDescent="0.25">
      <c r="A39" s="10"/>
      <c r="B39" s="73" t="s">
        <v>51</v>
      </c>
      <c r="C39" s="74"/>
      <c r="D39" s="75"/>
      <c r="E39" s="90" t="s">
        <v>52</v>
      </c>
      <c r="F39" s="91"/>
      <c r="G39" s="92"/>
      <c r="H39" s="10"/>
    </row>
    <row r="40" spans="1:8" s="23" customFormat="1" ht="12" customHeight="1" x14ac:dyDescent="0.25">
      <c r="A40" s="10"/>
      <c r="B40" s="73" t="s">
        <v>53</v>
      </c>
      <c r="C40" s="74"/>
      <c r="D40" s="75"/>
      <c r="E40" s="93" t="s">
        <v>54</v>
      </c>
      <c r="F40" s="94"/>
      <c r="G40" s="95"/>
      <c r="H40" s="10"/>
    </row>
    <row r="41" spans="1:8" s="23" customFormat="1" ht="12" customHeight="1" x14ac:dyDescent="0.25">
      <c r="A41" s="10"/>
      <c r="B41" s="73" t="s">
        <v>55</v>
      </c>
      <c r="C41" s="74"/>
      <c r="D41" s="75"/>
      <c r="E41" s="96" t="s">
        <v>56</v>
      </c>
      <c r="F41" s="97"/>
      <c r="G41" s="98"/>
      <c r="H41" s="10"/>
    </row>
    <row r="42" spans="1:8" s="23" customFormat="1" ht="12" customHeight="1" x14ac:dyDescent="0.25">
      <c r="A42" s="10"/>
      <c r="B42" s="73" t="s">
        <v>57</v>
      </c>
      <c r="C42" s="74"/>
      <c r="D42" s="75"/>
      <c r="E42" s="96"/>
      <c r="F42" s="97"/>
      <c r="G42" s="98"/>
      <c r="H42" s="10"/>
    </row>
    <row r="43" spans="1:8" s="23" customFormat="1" ht="12" customHeight="1" x14ac:dyDescent="0.25">
      <c r="A43" s="10"/>
      <c r="B43" s="73" t="s">
        <v>58</v>
      </c>
      <c r="C43" s="74"/>
      <c r="D43" s="75"/>
      <c r="E43" s="84" t="s">
        <v>59</v>
      </c>
      <c r="F43" s="85"/>
      <c r="G43" s="86"/>
      <c r="H43" s="10"/>
    </row>
    <row r="44" spans="1:8" s="23" customFormat="1" ht="12" customHeight="1" x14ac:dyDescent="0.25">
      <c r="A44" s="10"/>
      <c r="B44" s="73" t="s">
        <v>60</v>
      </c>
      <c r="C44" s="74"/>
      <c r="D44" s="75"/>
      <c r="E44" s="84" t="s">
        <v>61</v>
      </c>
      <c r="F44" s="85"/>
      <c r="G44" s="86"/>
      <c r="H44" s="10"/>
    </row>
    <row r="45" spans="1:8" s="23" customFormat="1" ht="12" customHeight="1" x14ac:dyDescent="0.25">
      <c r="A45" s="10"/>
      <c r="B45" s="79" t="s">
        <v>62</v>
      </c>
      <c r="C45" s="80"/>
      <c r="D45" s="81"/>
      <c r="E45" s="87"/>
      <c r="F45" s="88"/>
      <c r="G45" s="89"/>
      <c r="H45" s="10"/>
    </row>
    <row r="46" spans="1:8" s="23" customFormat="1" ht="12" customHeight="1" x14ac:dyDescent="0.25">
      <c r="B46" s="58" t="s">
        <v>63</v>
      </c>
      <c r="C46" s="59"/>
      <c r="D46" s="59"/>
      <c r="E46" s="60"/>
      <c r="F46" s="60"/>
      <c r="G46" s="61"/>
      <c r="H46" s="10"/>
    </row>
    <row r="47" spans="1:8" s="23" customFormat="1" ht="12" customHeight="1" x14ac:dyDescent="0.25">
      <c r="A47" s="10"/>
      <c r="B47" s="62" t="s">
        <v>64</v>
      </c>
      <c r="C47" s="63"/>
      <c r="D47" s="64"/>
      <c r="E47" s="65" t="s">
        <v>65</v>
      </c>
      <c r="F47" s="66"/>
      <c r="G47" s="67"/>
      <c r="H47" s="10"/>
    </row>
    <row r="48" spans="1:8" s="23" customFormat="1" ht="12" customHeight="1" x14ac:dyDescent="0.25">
      <c r="A48" s="10"/>
      <c r="B48" s="68" t="s">
        <v>66</v>
      </c>
      <c r="C48" s="69"/>
      <c r="D48" s="70"/>
      <c r="E48" s="65" t="s">
        <v>67</v>
      </c>
      <c r="F48" s="66"/>
      <c r="G48" s="67"/>
      <c r="H48" s="10"/>
    </row>
    <row r="49" spans="1:8" s="23" customFormat="1" ht="12" customHeight="1" x14ac:dyDescent="0.25">
      <c r="A49" s="10"/>
      <c r="B49" s="68" t="s">
        <v>68</v>
      </c>
      <c r="C49" s="71"/>
      <c r="D49" s="72"/>
      <c r="E49" s="73" t="s">
        <v>69</v>
      </c>
      <c r="F49" s="74"/>
      <c r="G49" s="75"/>
      <c r="H49" s="10"/>
    </row>
    <row r="50" spans="1:8" s="23" customFormat="1" ht="12" customHeight="1" x14ac:dyDescent="0.25">
      <c r="A50" s="10"/>
      <c r="B50" s="76" t="s">
        <v>70</v>
      </c>
      <c r="C50" s="77"/>
      <c r="D50" s="78"/>
      <c r="E50" s="79"/>
      <c r="F50" s="80"/>
      <c r="G50" s="81"/>
      <c r="H50" s="10"/>
    </row>
    <row r="51" spans="1:8" s="23" customFormat="1" ht="12" customHeight="1" x14ac:dyDescent="0.25">
      <c r="A51" s="10"/>
      <c r="B51" s="82"/>
      <c r="C51" s="82"/>
      <c r="D51" s="82"/>
      <c r="E51" s="82"/>
      <c r="F51" s="82"/>
      <c r="G51" s="82"/>
      <c r="H51" s="10"/>
    </row>
    <row r="52" spans="1:8" s="23" customFormat="1" ht="12" customHeight="1" x14ac:dyDescent="0.25">
      <c r="A52" s="10"/>
      <c r="B52" s="34" t="s">
        <v>71</v>
      </c>
      <c r="C52" s="83"/>
      <c r="D52" s="83"/>
      <c r="E52" s="83"/>
      <c r="F52" s="83"/>
      <c r="G52" s="83"/>
      <c r="H52" s="10"/>
    </row>
    <row r="53" spans="1:8" s="23" customFormat="1" ht="12" customHeight="1" x14ac:dyDescent="0.25">
      <c r="A53" s="10"/>
      <c r="B53" s="57"/>
      <c r="C53" s="57"/>
      <c r="D53" s="57"/>
      <c r="E53" s="57"/>
      <c r="F53" s="57"/>
      <c r="G53" s="57"/>
      <c r="H53" s="10"/>
    </row>
    <row r="54" spans="1:8" s="23" customFormat="1" ht="12" customHeight="1" x14ac:dyDescent="0.25">
      <c r="A54" s="10"/>
      <c r="B54" s="57"/>
      <c r="C54" s="57"/>
      <c r="D54" s="57"/>
      <c r="E54" s="57"/>
      <c r="F54" s="57"/>
      <c r="G54" s="57"/>
      <c r="H54" s="10"/>
    </row>
    <row r="55" spans="1:8" s="23" customFormat="1" ht="12" customHeight="1" x14ac:dyDescent="0.25">
      <c r="A55" s="10"/>
      <c r="B55" s="48"/>
      <c r="C55" s="48"/>
      <c r="D55" s="48"/>
      <c r="E55" s="48"/>
      <c r="F55" s="48"/>
      <c r="G55" s="48"/>
      <c r="H55" s="10"/>
    </row>
    <row r="56" spans="1:8" s="23" customFormat="1" ht="12" customHeight="1" x14ac:dyDescent="0.25">
      <c r="A56" s="21"/>
      <c r="B56" s="49" t="s">
        <v>72</v>
      </c>
      <c r="C56" s="49"/>
      <c r="D56" s="49"/>
      <c r="E56" s="49"/>
      <c r="F56" s="49"/>
      <c r="G56" s="49"/>
      <c r="H56" s="22"/>
    </row>
    <row r="57" spans="1:8" s="23" customFormat="1" ht="12" customHeight="1" x14ac:dyDescent="0.25">
      <c r="A57" s="22"/>
      <c r="B57" s="50" t="s">
        <v>73</v>
      </c>
      <c r="C57" s="50"/>
      <c r="D57" s="35">
        <v>15</v>
      </c>
      <c r="E57" s="20" t="s">
        <v>74</v>
      </c>
      <c r="F57" s="20"/>
      <c r="G57" s="20"/>
      <c r="H57" s="22"/>
    </row>
    <row r="58" spans="1:8" s="23" customFormat="1" ht="12" customHeight="1" x14ac:dyDescent="0.25">
      <c r="A58" s="21"/>
      <c r="B58" s="49" t="s">
        <v>75</v>
      </c>
      <c r="C58" s="49"/>
      <c r="D58" s="49"/>
      <c r="E58" s="49"/>
      <c r="F58" s="49"/>
      <c r="G58" s="49"/>
      <c r="H58" s="22"/>
    </row>
    <row r="59" spans="1:8" s="23" customFormat="1" ht="12" customHeight="1" x14ac:dyDescent="0.25">
      <c r="A59" s="22"/>
      <c r="B59" s="51" t="s">
        <v>76</v>
      </c>
      <c r="C59" s="51"/>
      <c r="D59" s="37">
        <f>C61+C62</f>
        <v>0</v>
      </c>
      <c r="E59" s="52" t="s">
        <v>77</v>
      </c>
      <c r="F59" s="52"/>
      <c r="G59" s="20"/>
      <c r="H59" s="22"/>
    </row>
    <row r="60" spans="1:8" s="23" customFormat="1" ht="12" customHeight="1" x14ac:dyDescent="0.25">
      <c r="A60" s="21"/>
      <c r="B60" s="49" t="s">
        <v>78</v>
      </c>
      <c r="C60" s="49"/>
      <c r="D60" s="49"/>
      <c r="E60" s="49"/>
      <c r="F60" s="49"/>
      <c r="G60" s="49"/>
      <c r="H60" s="22"/>
    </row>
    <row r="61" spans="1:8" s="23" customFormat="1" ht="12" customHeight="1" x14ac:dyDescent="0.25">
      <c r="A61" s="22"/>
      <c r="B61" s="36" t="s">
        <v>88</v>
      </c>
      <c r="C61" s="38"/>
      <c r="D61" s="53" t="s">
        <v>87</v>
      </c>
      <c r="E61" s="54"/>
      <c r="F61" s="54"/>
      <c r="G61" s="39">
        <f ca="1">E17</f>
        <v>46261</v>
      </c>
      <c r="H61" s="22"/>
    </row>
    <row r="62" spans="1:8" s="23" customFormat="1" ht="12" customHeight="1" x14ac:dyDescent="0.25">
      <c r="A62" s="22"/>
      <c r="B62" s="36" t="s">
        <v>89</v>
      </c>
      <c r="C62" s="40"/>
      <c r="D62" s="54" t="s">
        <v>79</v>
      </c>
      <c r="E62" s="54"/>
      <c r="F62" s="54"/>
      <c r="G62" s="39">
        <f ca="1">E17+7</f>
        <v>46268</v>
      </c>
      <c r="H62" s="41" t="s">
        <v>80</v>
      </c>
    </row>
    <row r="63" spans="1:8" s="23" customFormat="1" ht="12" customHeight="1" x14ac:dyDescent="0.25">
      <c r="A63" s="10"/>
      <c r="B63" s="55" t="s">
        <v>81</v>
      </c>
      <c r="C63" s="55"/>
      <c r="D63" s="55"/>
      <c r="E63" s="55"/>
      <c r="F63" s="55"/>
      <c r="G63" s="55"/>
      <c r="H63" s="42"/>
    </row>
    <row r="64" spans="1:8" s="23" customFormat="1" ht="12" customHeight="1" x14ac:dyDescent="0.2">
      <c r="A64" s="43" t="s">
        <v>82</v>
      </c>
      <c r="B64" s="56" t="s">
        <v>83</v>
      </c>
      <c r="C64" s="56"/>
      <c r="D64" s="56"/>
      <c r="E64" s="56"/>
      <c r="F64" s="56"/>
      <c r="G64" s="56"/>
    </row>
    <row r="65" spans="2:8" ht="12" customHeight="1" x14ac:dyDescent="0.25">
      <c r="B65" s="47" t="s">
        <v>90</v>
      </c>
      <c r="C65" s="47"/>
      <c r="D65" s="47"/>
      <c r="E65" s="47"/>
      <c r="F65" s="47" t="s">
        <v>84</v>
      </c>
      <c r="G65" s="47"/>
      <c r="H65" s="47"/>
    </row>
    <row r="66" spans="2:8" ht="12" customHeight="1" x14ac:dyDescent="0.25">
      <c r="B66" s="47" t="s">
        <v>86</v>
      </c>
      <c r="C66" s="47"/>
      <c r="D66" s="47"/>
      <c r="E66" s="46"/>
      <c r="F66" s="47" t="s">
        <v>85</v>
      </c>
      <c r="G66" s="47"/>
      <c r="H66" s="47"/>
    </row>
    <row r="67" spans="2:8" ht="12" customHeight="1" x14ac:dyDescent="0.25">
      <c r="B67" s="44"/>
      <c r="C67" s="44"/>
      <c r="D67" s="44"/>
      <c r="E67" s="44"/>
      <c r="F67" s="44"/>
      <c r="G67" s="44"/>
      <c r="H67" s="44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E22:G2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B21:D21 E20:G21" name="Rango1_1"/>
    <protectedRange algorithmName="SHA-512" hashValue="jRsd99E24Wg0cREusBHWfr8AogbmoKcBAiIEI/AkVrYZ6d3Zv1r365CvDnomnIuIagvCXHSwta3CL7/ZYpI/1A==" saltValue="4GoUJy3q9tod8g93O8nnng==" spinCount="100000" sqref="B23:D23 B25:D27" name="Rango1_4"/>
    <protectedRange algorithmName="SHA-512" hashValue="1IwEtpPovyRjspz9ti3J5udl070IPZ9gDlGmM3ZH/lFyQlLVVL2qbaMds7kHvZZkPq7VvowLV2MqpNnf8owpjQ==" saltValue="SwYyjj//I75seGLqQP0hyQ==" spinCount="100000" sqref="B31:D32 B44:B45 C43:D44" name="Rango2_2"/>
    <protectedRange algorithmName="SHA-512" hashValue="jRsd99E24Wg0cREusBHWfr8AogbmoKcBAiIEI/AkVrYZ6d3Zv1r365CvDnomnIuIagvCXHSwta3CL7/ZYpI/1A==" saltValue="4GoUJy3q9tod8g93O8nnng==" spinCount="100000" sqref="B43 C45:D45 C42:D42 F32:G36 F31 F30:G30 E30:E36" name="Rango1_5"/>
    <protectedRange algorithmName="SHA-512" hashValue="1IwEtpPovyRjspz9ti3J5udl070IPZ9gDlGmM3ZH/lFyQlLVVL2qbaMds7kHvZZkPq7VvowLV2MqpNnf8owpjQ==" saltValue="SwYyjj//I75seGLqQP0hyQ==" spinCount="100000" sqref="E37:G38 E39" name="Rango2_2_2"/>
    <protectedRange algorithmName="SHA-512" hashValue="jRsd99E24Wg0cREusBHWfr8AogbmoKcBAiIEI/AkVrYZ6d3Zv1r365CvDnomnIuIagvCXHSwta3CL7/ZYpI/1A==" saltValue="4GoUJy3q9tod8g93O8nnng==" spinCount="100000" sqref="B49:D49" name="Rango1_7"/>
  </protectedRanges>
  <mergeCells count="87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44:D44"/>
    <mergeCell ref="E44:G44"/>
    <mergeCell ref="B45:D45"/>
    <mergeCell ref="E45:G45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F66:H66"/>
    <mergeCell ref="B66:D66"/>
  </mergeCells>
  <hyperlinks>
    <hyperlink ref="D7" r:id="rId1" display="https://www.planosperu.com.pe" xr:uid="{A680FE3B-0E21-4B3A-851F-14B52C256532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PLA-NOD</vt:lpstr>
      <vt:lpstr>'PLA-NOD'!Área_de_impresión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2025-04-28T14:23:47Z</dcterms:created>
  <dcterms:modified xsi:type="dcterms:W3CDTF">2026-08-27T16:27:11Z</dcterms:modified>
</cp:coreProperties>
</file>