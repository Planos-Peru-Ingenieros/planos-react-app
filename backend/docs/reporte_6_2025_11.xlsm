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nos_peru_intranet\planos-react-app\backend\docs\"/>
    </mc:Choice>
  </mc:AlternateContent>
  <xr:revisionPtr revIDLastSave="0" documentId="8_{0F8CACEE-138A-47AE-BAB7-D68D5434004E}" xr6:coauthVersionLast="47" xr6:coauthVersionMax="47" xr10:uidLastSave="{00000000-0000-0000-0000-000000000000}"/>
  <bookViews>
    <workbookView xWindow="1560" yWindow="1560" windowWidth="18000" windowHeight="9810" tabRatio="700" firstSheet="3" activeTab="4" xr2:uid="{00000000-000D-0000-FFFF-FFFF00000000}"/>
  </bookViews>
  <sheets>
    <sheet name="Reloj" sheetId="3" state="hidden" r:id="rId1"/>
    <sheet name="Historico" sheetId="2" state="hidden" r:id="rId2"/>
    <sheet name="Horas trabajadas" sheetId="4" state="hidden" r:id="rId3"/>
    <sheet name="Datos" sheetId="14" r:id="rId4"/>
    <sheet name="Reporte de Asistencia" sheetId="12" r:id="rId5"/>
    <sheet name="Boleta de Pago" sheetId="5" r:id="rId6"/>
    <sheet name="Reglas de Pago" sheetId="13" r:id="rId7"/>
  </sheets>
  <definedNames>
    <definedName name="Print_Area" localSheetId="4">'Reporte de Asistencia'!$A$1:$I$59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6" i="12" l="1"/>
  <c r="H45" i="12"/>
  <c r="H44" i="12"/>
  <c r="H43" i="12"/>
  <c r="H42" i="12"/>
  <c r="H39" i="12"/>
  <c r="H38" i="12"/>
  <c r="H37" i="12"/>
  <c r="H36" i="12"/>
  <c r="H35" i="12"/>
  <c r="H32" i="12"/>
  <c r="H31" i="12"/>
  <c r="H30" i="12"/>
  <c r="H29" i="12"/>
  <c r="H28" i="12"/>
  <c r="H25" i="12"/>
  <c r="H24" i="12"/>
  <c r="H23" i="12"/>
  <c r="H22" i="12"/>
  <c r="H19" i="12"/>
  <c r="H20" i="12"/>
  <c r="H21" i="12"/>
  <c r="B19" i="12"/>
  <c r="B20" i="12"/>
  <c r="B21" i="12"/>
  <c r="B22" i="12"/>
  <c r="B23" i="12"/>
  <c r="B24" i="12"/>
  <c r="B25" i="12"/>
  <c r="B26" i="12"/>
  <c r="C51" i="12"/>
  <c r="B51" i="12"/>
  <c r="H57" i="12" s="1"/>
  <c r="B48" i="12"/>
  <c r="J20" i="5" l="1"/>
  <c r="G12" i="12"/>
  <c r="H6" i="5" l="1"/>
  <c r="C14" i="5" l="1"/>
  <c r="B27" i="12" l="1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G14" i="12"/>
  <c r="G13" i="12"/>
  <c r="G11" i="12"/>
  <c r="G10" i="12"/>
  <c r="J6" i="5"/>
  <c r="F6" i="5"/>
  <c r="D53" i="12" l="1"/>
  <c r="D51" i="12" l="1"/>
  <c r="G15" i="12"/>
  <c r="H53" i="12"/>
  <c r="H7" i="12" l="1"/>
  <c r="E14" i="5"/>
  <c r="C3" i="12" l="1"/>
  <c r="E13" i="5" l="1"/>
  <c r="A10" i="5"/>
  <c r="A8" i="5"/>
  <c r="B7" i="12"/>
  <c r="A7" i="12"/>
  <c r="E17" i="5" l="1"/>
  <c r="A6" i="5" l="1"/>
  <c r="B6" i="5" l="1"/>
  <c r="C3" i="5"/>
  <c r="E51" i="12" l="1"/>
  <c r="I8" i="5"/>
  <c r="G51" i="12" l="1"/>
  <c r="A12" i="5"/>
  <c r="D54" i="12"/>
  <c r="A14" i="5"/>
  <c r="I10" i="5"/>
  <c r="G46" i="5"/>
  <c r="H56" i="12" l="1"/>
  <c r="J19" i="5" s="1"/>
  <c r="D55" i="12"/>
  <c r="H55" i="12" s="1"/>
  <c r="J18" i="5" s="1"/>
  <c r="C12" i="5"/>
  <c r="H54" i="12" l="1"/>
  <c r="G10" i="5"/>
  <c r="E30" i="5"/>
  <c r="H58" i="12" l="1"/>
  <c r="D56" i="12"/>
  <c r="J17" i="5"/>
  <c r="J30" i="5" s="1"/>
  <c r="J31" i="5" s="1"/>
  <c r="G47" i="5"/>
  <c r="L17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L16" i="4"/>
  <c r="I22" i="4" l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7" i="4" l="1"/>
  <c r="I4" i="4"/>
  <c r="I6" i="4"/>
  <c r="I8" i="4"/>
  <c r="I9" i="4"/>
  <c r="I5" i="4"/>
  <c r="I11" i="4"/>
  <c r="I12" i="4"/>
  <c r="I13" i="4"/>
  <c r="I10" i="4"/>
  <c r="I14" i="4"/>
  <c r="I15" i="4"/>
  <c r="I20" i="4"/>
  <c r="I21" i="4"/>
  <c r="I17" i="4"/>
  <c r="I19" i="4"/>
  <c r="I18" i="4"/>
  <c r="I16" i="4"/>
  <c r="B3" i="3" l="1"/>
  <c r="E64" i="2" l="1"/>
  <c r="F64" i="2"/>
  <c r="C6" i="3" l="1"/>
  <c r="B4" i="3"/>
</calcChain>
</file>

<file path=xl/sharedStrings.xml><?xml version="1.0" encoding="utf-8"?>
<sst xmlns="http://schemas.openxmlformats.org/spreadsheetml/2006/main" count="587" uniqueCount="195">
  <si>
    <t>AREA LEGAL</t>
  </si>
  <si>
    <t>AREA PROCESOS</t>
  </si>
  <si>
    <t>AREA DISEÑO</t>
  </si>
  <si>
    <t>AREA PUBLICIDAD</t>
  </si>
  <si>
    <t>KC03</t>
  </si>
  <si>
    <t>DR04</t>
  </si>
  <si>
    <t>MA04</t>
  </si>
  <si>
    <t>CM04</t>
  </si>
  <si>
    <t>EV01</t>
  </si>
  <si>
    <t>CH03</t>
  </si>
  <si>
    <t>Codigo</t>
  </si>
  <si>
    <t>Area</t>
  </si>
  <si>
    <t>Registro</t>
  </si>
  <si>
    <t>Hora</t>
  </si>
  <si>
    <t>Tipo de registro</t>
  </si>
  <si>
    <t xml:space="preserve">Entrada </t>
  </si>
  <si>
    <t>salida</t>
  </si>
  <si>
    <t>Fecha</t>
  </si>
  <si>
    <t xml:space="preserve">Registro de Asistencia </t>
  </si>
  <si>
    <t xml:space="preserve">Horas trabajadas </t>
  </si>
  <si>
    <t>Observaciones</t>
  </si>
  <si>
    <t>lunes 22-11-21</t>
  </si>
  <si>
    <t>Falto Corayma</t>
  </si>
  <si>
    <t>Maritza salio antes de las 7</t>
  </si>
  <si>
    <t>Martes 23-11-21</t>
  </si>
  <si>
    <t>Corayma y Denisse temprano</t>
  </si>
  <si>
    <t>Sluvia mas de las 9:30</t>
  </si>
  <si>
    <t>Claudia se retiro 6:44</t>
  </si>
  <si>
    <t>Denisse se retiro 6:50</t>
  </si>
  <si>
    <t>Miercoles 24-11-21</t>
  </si>
  <si>
    <t>Corayma 8:30</t>
  </si>
  <si>
    <t>Denisse antes de las 8:30</t>
  </si>
  <si>
    <t>Esluvia 8:53</t>
  </si>
  <si>
    <t>Maritza9:16</t>
  </si>
  <si>
    <t>Claudia 9:21</t>
  </si>
  <si>
    <t>7:57 a. m.</t>
  </si>
  <si>
    <t>8:01 a. m.</t>
  </si>
  <si>
    <t>8:03 a. m.</t>
  </si>
  <si>
    <t>Jueves 25-11-21</t>
  </si>
  <si>
    <t>Denisse 8:25</t>
  </si>
  <si>
    <t>8:16 a. m.</t>
  </si>
  <si>
    <t>8:22 a. m.</t>
  </si>
  <si>
    <t>Entrada</t>
  </si>
  <si>
    <t>Salida</t>
  </si>
  <si>
    <t>5:15 p. m.</t>
  </si>
  <si>
    <t>5:43 p. m.</t>
  </si>
  <si>
    <t>5:54 p. m.</t>
  </si>
  <si>
    <t>6:03 p. m.</t>
  </si>
  <si>
    <t>7:24 a. m.</t>
  </si>
  <si>
    <t>7:35 a. m.</t>
  </si>
  <si>
    <t>7:38 a. m.</t>
  </si>
  <si>
    <t>7:40 a. m.</t>
  </si>
  <si>
    <t>8:05 a. m.</t>
  </si>
  <si>
    <t>Viernes 26-11-21</t>
  </si>
  <si>
    <t>Falta injustificada Claudia</t>
  </si>
  <si>
    <t>Horas trabajadas</t>
  </si>
  <si>
    <t>Fin almuerzo</t>
  </si>
  <si>
    <t>Inicio almuerzo</t>
  </si>
  <si>
    <t>5:48 p. m.</t>
  </si>
  <si>
    <t>6:01 p. m.</t>
  </si>
  <si>
    <t>7:15 a. m.</t>
  </si>
  <si>
    <t>7:28 a. m.</t>
  </si>
  <si>
    <t>7:36 a. m.</t>
  </si>
  <si>
    <t>lunes 29-11-21</t>
  </si>
  <si>
    <t>Falta injustificada denisse</t>
  </si>
  <si>
    <t>6:02 p. m.</t>
  </si>
  <si>
    <t>7:26 a. m.</t>
  </si>
  <si>
    <t>7:27 a. m.</t>
  </si>
  <si>
    <t>7:53 a. m.</t>
  </si>
  <si>
    <t>5:46 p. m.</t>
  </si>
  <si>
    <t>7:43 a. m.</t>
  </si>
  <si>
    <t>6:48 p. m.</t>
  </si>
  <si>
    <t>6:54 p. m.</t>
  </si>
  <si>
    <t>7:06 p. m.</t>
  </si>
  <si>
    <t>9:15 a. m.</t>
  </si>
  <si>
    <t>9:21 a. m.</t>
  </si>
  <si>
    <t>6:53 p. m.</t>
  </si>
  <si>
    <t>7:09 p. m.</t>
  </si>
  <si>
    <t>7:05 p. m.</t>
  </si>
  <si>
    <t>9:20 a. m.</t>
  </si>
  <si>
    <t>6:32 p. m.</t>
  </si>
  <si>
    <t>6:50 p. m.</t>
  </si>
  <si>
    <t>7:12 p. m.</t>
  </si>
  <si>
    <t>6:41 p. m.</t>
  </si>
  <si>
    <t>7:00 p. m.</t>
  </si>
  <si>
    <t>7:17 p. m.</t>
  </si>
  <si>
    <t>Columna1</t>
  </si>
  <si>
    <t>9:16 a. m.</t>
  </si>
  <si>
    <t>9:27 a. m.</t>
  </si>
  <si>
    <t>6:52 p. m.</t>
  </si>
  <si>
    <t>9:45 a. m.</t>
  </si>
  <si>
    <t>BOLETA DE PAGO</t>
  </si>
  <si>
    <t>COD. AREA</t>
  </si>
  <si>
    <t>SUELDO</t>
  </si>
  <si>
    <t>DOC. IDENTIDAD</t>
  </si>
  <si>
    <t>OBSERVACIONES</t>
  </si>
  <si>
    <t>PUESTO DE TRABAJO</t>
  </si>
  <si>
    <t>DIAS FALTA</t>
  </si>
  <si>
    <t>DIAS TRABAJADOS</t>
  </si>
  <si>
    <t>HORAS TRABAJADAS</t>
  </si>
  <si>
    <t>HORAS EXTRAS</t>
  </si>
  <si>
    <t>FERIADO TRABAJADO</t>
  </si>
  <si>
    <t>INGRESOS</t>
  </si>
  <si>
    <t xml:space="preserve">SUELDO BASICO </t>
  </si>
  <si>
    <t>MODALIDAD PAGO</t>
  </si>
  <si>
    <t>RECIBO POR HONORARIOS</t>
  </si>
  <si>
    <t>TOTAL INGRESOS</t>
  </si>
  <si>
    <t>TOTAL DESCUENTOS</t>
  </si>
  <si>
    <t>NETO A PAGAR</t>
  </si>
  <si>
    <t>PLANOS PERU</t>
  </si>
  <si>
    <t xml:space="preserve">RECIBI CONFORME </t>
  </si>
  <si>
    <t>6:10 p. m.</t>
  </si>
  <si>
    <t>9:35 a. m.</t>
  </si>
  <si>
    <t>GC-BP-001</t>
  </si>
  <si>
    <t>-</t>
  </si>
  <si>
    <t>HORAS FALTANTES</t>
  </si>
  <si>
    <t>FECHA INICIO</t>
  </si>
  <si>
    <t>HRS. FALTANTES</t>
  </si>
  <si>
    <t>DIAS TARDANZA</t>
  </si>
  <si>
    <t>GERENCIA GENERAL</t>
  </si>
  <si>
    <t>Elaborado por:</t>
  </si>
  <si>
    <t>SUELDO BASICO</t>
  </si>
  <si>
    <t>HORAS MENSUALES</t>
  </si>
  <si>
    <t>APELLIDOS Y NOMBRES</t>
  </si>
  <si>
    <t>JOR</t>
  </si>
  <si>
    <t>Reglas de pago</t>
  </si>
  <si>
    <t>DIA</t>
  </si>
  <si>
    <t>FECHA</t>
  </si>
  <si>
    <t>ENTRADA</t>
  </si>
  <si>
    <t>ALMUERZO INICIO</t>
  </si>
  <si>
    <t>TOTAL</t>
  </si>
  <si>
    <t>SALIDA</t>
  </si>
  <si>
    <t>ALMUERZO FIN</t>
  </si>
  <si>
    <t>=IF(C13&lt;&gt;"";G$10;"")</t>
  </si>
  <si>
    <t>Total Faltante en num.</t>
  </si>
  <si>
    <t>HORAS LABORALES</t>
  </si>
  <si>
    <t>Horas laborales al mes</t>
  </si>
  <si>
    <t>=I10*CONTARA(Tabla8[DIA])</t>
  </si>
  <si>
    <t>PERMISOS</t>
  </si>
  <si>
    <t>REPORTE HORARIO LABORAL</t>
  </si>
  <si>
    <t>GC</t>
  </si>
  <si>
    <t>VER-002</t>
  </si>
  <si>
    <t>Se trabajan 48 horas semanales. Serian 8:00 horas en 6 dias o 9:36 horas en 5 dias.</t>
  </si>
  <si>
    <t>FECHA CESE</t>
  </si>
  <si>
    <t>Tardanzas</t>
  </si>
  <si>
    <t>Hora del almuerzo</t>
  </si>
  <si>
    <t>=COUNTIF(Tabla8[ENTRADA],"&gt;"&amp;E10)</t>
  </si>
  <si>
    <t>Apellidos y nombres</t>
  </si>
  <si>
    <t>Codigo area</t>
  </si>
  <si>
    <t>Puesto de trabajo</t>
  </si>
  <si>
    <t>Sueldo</t>
  </si>
  <si>
    <t>Tipo de cuenta</t>
  </si>
  <si>
    <t>Num. de cuenta</t>
  </si>
  <si>
    <t>Fecha de ingreso</t>
  </si>
  <si>
    <t>Doc. Iden.</t>
  </si>
  <si>
    <t>Fecha de cese</t>
  </si>
  <si>
    <t>Del</t>
  </si>
  <si>
    <t>Al</t>
  </si>
  <si>
    <t>Minutos Faltantes a num.</t>
  </si>
  <si>
    <t>Horas Faltanes a num.</t>
  </si>
  <si>
    <t xml:space="preserve">ATAPAUCAR BARDALES RICHARD RAFAEL </t>
  </si>
  <si>
    <t>=([@SALIDA]-H$10)+(G$10-[@ENTRADA])</t>
  </si>
  <si>
    <t>Permisos</t>
  </si>
  <si>
    <t>Faltas</t>
  </si>
  <si>
    <t>Dias Habiles</t>
  </si>
  <si>
    <t>Horas Trabajadas</t>
  </si>
  <si>
    <t>Horas Faltantes</t>
  </si>
  <si>
    <t>Dia</t>
  </si>
  <si>
    <t>Descanso</t>
  </si>
  <si>
    <t>Total</t>
  </si>
  <si>
    <t>Tardanza</t>
  </si>
  <si>
    <t>lunes</t>
  </si>
  <si>
    <t>martes</t>
  </si>
  <si>
    <t>miercoles</t>
  </si>
  <si>
    <t>jueves</t>
  </si>
  <si>
    <t>viernes</t>
  </si>
  <si>
    <t>BONO - PUNT</t>
  </si>
  <si>
    <t>BONO - ÉXITO: SUNARP</t>
  </si>
  <si>
    <t>BOND - ASER - REPO</t>
  </si>
  <si>
    <t>BOND - EVAL</t>
  </si>
  <si>
    <t>DESC. 1FAL+1AD</t>
  </si>
  <si>
    <t>DESC. 1 FAL POR 4 TARD</t>
  </si>
  <si>
    <t>DESC.- TRICA</t>
  </si>
  <si>
    <t>Valor por dia</t>
  </si>
  <si>
    <t>Valor p/hr</t>
  </si>
  <si>
    <t>Falta por 4 tardanzas</t>
  </si>
  <si>
    <t>Falta mas adicional</t>
  </si>
  <si>
    <t>TOTAL DESCUENTO</t>
  </si>
  <si>
    <t>VER-004</t>
  </si>
  <si>
    <t>PERIODO VACIONAL</t>
  </si>
  <si>
    <t>DEDUCCIONES</t>
  </si>
  <si>
    <t>Fin de almuerzo</t>
  </si>
  <si>
    <t>Tardanza del Receso</t>
  </si>
  <si>
    <t>Tar. Receso</t>
  </si>
  <si>
    <t>DESC. TARDANZA DEL RECESO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</si>
</sst>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[$-F400]h:mm:ss\ AM/PM"/>
    <numFmt numFmtId="166" formatCode="[$-280A]h:mm:ss\ AM/PM;@"/>
    <numFmt numFmtId="167" formatCode="[$-280A]hh:mm:ss\ AM/PM;@"/>
    <numFmt numFmtId="168" formatCode="0.0"/>
    <numFmt numFmtId="169" formatCode="&quot;S/&quot;\ #,##0.00"/>
    <numFmt numFmtId="170" formatCode="[$S/-280A]\ #,##0.00"/>
    <numFmt numFmtId="171" formatCode="dd/mm/yy;@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sz val="12"/>
      <color theme="1" tint="0.1499984740745262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86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0" xfId="0" applyFont="1"/>
    <xf numFmtId="14" fontId="0" fillId="0" borderId="0" xfId="0" applyNumberFormat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5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14" xfId="0" applyFill="1" applyBorder="1" applyAlignment="1">
      <alignment horizontal="center"/>
    </xf>
    <xf numFmtId="166" fontId="0" fillId="0" borderId="0" xfId="0" applyNumberFormat="1"/>
    <xf numFmtId="166" fontId="0" fillId="2" borderId="0" xfId="0" applyNumberFormat="1" applyFill="1"/>
    <xf numFmtId="166" fontId="0" fillId="5" borderId="0" xfId="0" applyNumberFormat="1" applyFill="1"/>
    <xf numFmtId="166" fontId="0" fillId="6" borderId="0" xfId="0" applyNumberFormat="1" applyFill="1"/>
    <xf numFmtId="166" fontId="0" fillId="7" borderId="0" xfId="0" applyNumberFormat="1" applyFill="1"/>
    <xf numFmtId="166" fontId="0" fillId="4" borderId="0" xfId="0" applyNumberFormat="1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67" fontId="0" fillId="0" borderId="0" xfId="0" applyNumberFormat="1"/>
    <xf numFmtId="0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26" xfId="0" applyBorder="1"/>
    <xf numFmtId="0" fontId="0" fillId="0" borderId="18" xfId="0" applyBorder="1"/>
    <xf numFmtId="0" fontId="0" fillId="0" borderId="27" xfId="0" applyBorder="1"/>
    <xf numFmtId="0" fontId="0" fillId="0" borderId="25" xfId="0" applyBorder="1"/>
    <xf numFmtId="0" fontId="0" fillId="0" borderId="22" xfId="0" applyBorder="1"/>
    <xf numFmtId="0" fontId="0" fillId="5" borderId="0" xfId="0" applyFill="1" applyAlignment="1">
      <alignment horizontal="center" vertical="center"/>
    </xf>
    <xf numFmtId="46" fontId="0" fillId="0" borderId="0" xfId="0" applyNumberFormat="1"/>
    <xf numFmtId="1" fontId="0" fillId="0" borderId="1" xfId="0" applyNumberFormat="1" applyBorder="1"/>
    <xf numFmtId="168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0" xfId="0" quotePrefix="1"/>
    <xf numFmtId="169" fontId="0" fillId="0" borderId="1" xfId="0" applyNumberFormat="1" applyBorder="1"/>
    <xf numFmtId="20" fontId="0" fillId="0" borderId="0" xfId="0" applyNumberFormat="1"/>
    <xf numFmtId="2" fontId="0" fillId="0" borderId="1" xfId="0" applyNumberFormat="1" applyBorder="1"/>
    <xf numFmtId="16" fontId="0" fillId="0" borderId="0" xfId="0" applyNumberFormat="1"/>
    <xf numFmtId="0" fontId="0" fillId="0" borderId="0" xfId="0" applyAlignment="1">
      <alignment horizontal="right"/>
    </xf>
    <xf numFmtId="46" fontId="0" fillId="0" borderId="0" xfId="0" applyNumberFormat="1" applyAlignment="1">
      <alignment horizontal="center"/>
    </xf>
    <xf numFmtId="20" fontId="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20" fontId="5" fillId="0" borderId="0" xfId="0" applyNumberFormat="1" applyFont="1" applyAlignment="1">
      <alignment horizontal="left" vertical="center"/>
    </xf>
    <xf numFmtId="20" fontId="1" fillId="0" borderId="0" xfId="0" applyNumberFormat="1" applyFont="1"/>
    <xf numFmtId="2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6" fontId="1" fillId="0" borderId="0" xfId="0" applyNumberFormat="1" applyFont="1"/>
    <xf numFmtId="171" fontId="6" fillId="0" borderId="0" xfId="0" applyNumberFormat="1" applyFont="1" applyAlignment="1">
      <alignment vertical="center"/>
    </xf>
    <xf numFmtId="20" fontId="6" fillId="0" borderId="0" xfId="0" applyNumberFormat="1" applyFont="1" applyAlignment="1">
      <alignment vertical="center"/>
    </xf>
    <xf numFmtId="0" fontId="1" fillId="0" borderId="1" xfId="0" applyFont="1" applyBorder="1"/>
    <xf numFmtId="170" fontId="0" fillId="0" borderId="1" xfId="0" applyNumberFormat="1" applyBorder="1"/>
    <xf numFmtId="20" fontId="0" fillId="0" borderId="1" xfId="0" applyNumberFormat="1" applyBorder="1" applyAlignment="1">
      <alignment horizontal="center"/>
    </xf>
    <xf numFmtId="20" fontId="6" fillId="0" borderId="0" xfId="0" applyNumberFormat="1" applyFont="1" applyAlignment="1">
      <alignment horizontal="right" vertical="center"/>
    </xf>
    <xf numFmtId="0" fontId="10" fillId="8" borderId="0" xfId="0" applyFont="1" applyFill="1" applyAlignment="1">
      <alignment horizontal="left"/>
    </xf>
    <xf numFmtId="14" fontId="10" fillId="8" borderId="0" xfId="0" applyNumberFormat="1" applyFont="1" applyFill="1" applyAlignment="1">
      <alignment horizontal="left"/>
    </xf>
    <xf numFmtId="2" fontId="0" fillId="0" borderId="0" xfId="0" applyNumberFormat="1"/>
    <xf numFmtId="169" fontId="0" fillId="0" borderId="0" xfId="0" applyNumberFormat="1"/>
    <xf numFmtId="1" fontId="10" fillId="8" borderId="0" xfId="0" quotePrefix="1" applyNumberFormat="1" applyFont="1" applyFill="1" applyAlignment="1">
      <alignment horizontal="left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/>
    </xf>
    <xf numFmtId="0" fontId="1" fillId="0" borderId="20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1" fillId="9" borderId="27" xfId="0" applyFont="1" applyFill="1" applyBorder="1"/>
    <xf numFmtId="0" fontId="1" fillId="9" borderId="28" xfId="0" applyFont="1" applyFill="1" applyBorder="1"/>
    <xf numFmtId="20" fontId="7" fillId="0" borderId="0" xfId="0" applyNumberFormat="1" applyFont="1" applyAlignment="1">
      <alignment horizontal="right" vertical="center"/>
    </xf>
    <xf numFmtId="171" fontId="7" fillId="0" borderId="0" xfId="0" applyNumberFormat="1" applyFont="1" applyAlignment="1">
      <alignment horizontal="right" vertical="center"/>
    </xf>
    <xf numFmtId="0" fontId="1" fillId="9" borderId="18" xfId="0" applyFont="1" applyFill="1" applyBorder="1"/>
    <xf numFmtId="0" fontId="1" fillId="9" borderId="19" xfId="0" applyFont="1" applyFill="1" applyBorder="1"/>
    <xf numFmtId="20" fontId="7" fillId="0" borderId="0" xfId="0" applyNumberFormat="1" applyFont="1" applyFill="1" applyAlignment="1">
      <alignment horizontal="right" vertical="center"/>
    </xf>
    <xf numFmtId="0" fontId="7" fillId="0" borderId="0" xfId="0" applyNumberFormat="1" applyFont="1" applyBorder="1" applyAlignment="1">
      <alignment horizontal="left"/>
    </xf>
    <xf numFmtId="171" fontId="7" fillId="0" borderId="0" xfId="0" applyNumberFormat="1" applyFont="1" applyFill="1" applyBorder="1" applyAlignment="1">
      <alignment horizontal="right" vertical="center"/>
    </xf>
    <xf numFmtId="20" fontId="8" fillId="0" borderId="0" xfId="0" applyNumberFormat="1" applyFont="1" applyBorder="1" applyAlignment="1">
      <alignment horizontal="right" vertical="center"/>
    </xf>
    <xf numFmtId="20" fontId="7" fillId="0" borderId="0" xfId="0" applyNumberFormat="1" applyFont="1" applyFill="1" applyBorder="1" applyAlignment="1">
      <alignment horizontal="right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9" borderId="26" xfId="0" applyFont="1" applyFill="1" applyBorder="1" applyAlignment="1">
      <alignment horizontal="left"/>
    </xf>
    <xf numFmtId="0" fontId="1" fillId="9" borderId="24" xfId="0" applyFont="1" applyFill="1" applyBorder="1" applyAlignment="1">
      <alignment horizontal="left"/>
    </xf>
    <xf numFmtId="0" fontId="1" fillId="9" borderId="27" xfId="0" applyFont="1" applyFill="1" applyBorder="1" applyAlignment="1">
      <alignment horizontal="left"/>
    </xf>
    <xf numFmtId="0" fontId="1" fillId="9" borderId="28" xfId="0" applyFont="1" applyFill="1" applyBorder="1" applyAlignment="1">
      <alignment horizontal="left"/>
    </xf>
    <xf numFmtId="0" fontId="1" fillId="9" borderId="18" xfId="0" applyFont="1" applyFill="1" applyBorder="1" applyAlignment="1">
      <alignment horizontal="left"/>
    </xf>
    <xf numFmtId="0" fontId="1" fillId="9" borderId="19" xfId="0" applyFont="1" applyFill="1" applyBorder="1" applyAlignment="1">
      <alignment horizontal="left"/>
    </xf>
    <xf numFmtId="0" fontId="1" fillId="10" borderId="26" xfId="0" applyFont="1" applyFill="1" applyBorder="1"/>
    <xf numFmtId="0" fontId="1" fillId="10" borderId="24" xfId="0" applyFont="1" applyFill="1" applyBorder="1"/>
    <xf numFmtId="0" fontId="1" fillId="10" borderId="27" xfId="0" applyFont="1" applyFill="1" applyBorder="1"/>
    <xf numFmtId="0" fontId="1" fillId="10" borderId="28" xfId="0" applyFont="1" applyFill="1" applyBorder="1"/>
    <xf numFmtId="0" fontId="1" fillId="0" borderId="0" xfId="0" applyFont="1" applyAlignment="1">
      <alignment horizontal="center"/>
    </xf>
    <xf numFmtId="46" fontId="0" fillId="0" borderId="0" xfId="0" applyNumberFormat="1" applyAlignment="1">
      <alignment horizontal="center"/>
    </xf>
    <xf numFmtId="0" fontId="1" fillId="10" borderId="18" xfId="0" applyFont="1" applyFill="1" applyBorder="1"/>
    <xf numFmtId="0" fontId="1" fillId="10" borderId="19" xfId="0" applyFont="1" applyFill="1" applyBorder="1"/>
    <xf numFmtId="46" fontId="0" fillId="0" borderId="13" xfId="0" applyNumberFormat="1" applyBorder="1" applyAlignment="1">
      <alignment horizontal="center" vertical="center"/>
    </xf>
    <xf numFmtId="46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2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4" xfId="0" applyBorder="1" applyAlignment="1">
      <alignment horizontal="center"/>
    </xf>
    <xf numFmtId="46" fontId="1" fillId="0" borderId="18" xfId="0" applyNumberFormat="1" applyFont="1" applyBorder="1" applyAlignment="1">
      <alignment horizontal="center" vertical="center"/>
    </xf>
    <xf numFmtId="46" fontId="1" fillId="0" borderId="25" xfId="0" applyNumberFormat="1" applyFont="1" applyBorder="1" applyAlignment="1">
      <alignment horizontal="center" vertical="center"/>
    </xf>
    <xf numFmtId="46" fontId="1" fillId="0" borderId="19" xfId="0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18" xfId="0" quotePrefix="1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46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14" fontId="0" fillId="0" borderId="18" xfId="0" applyNumberFormat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24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46" fontId="0" fillId="0" borderId="27" xfId="0" applyNumberFormat="1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0" fontId="1" fillId="0" borderId="0" xfId="0" applyFont="1"/>
    <xf numFmtId="0" fontId="1" fillId="0" borderId="2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4" xfId="0" applyBorder="1" applyAlignment="1">
      <alignment horizontal="left"/>
    </xf>
  </cellXfs>
  <cellStyles count="2">
    <cellStyle name="Millares" xfId="1" builtinId="3"/>
    <cellStyle name="Normal" xfId="0" builtinId="0"/>
  </cellStyles>
  <dxfs count="4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:mm"/>
      <alignment horizontal="right" vertical="center" textRotation="0" wrapText="0" indent="0" justifyLastLine="0" shrinkToFit="0" readingOrder="0"/>
      <border>
        <left style="thin">
          <color indexed="8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1" formatCode="[h]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dd/mm/yy;@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left" textRotation="0" wrapText="0" indent="0" justifyLastLine="0" shrinkToFit="0" readingOrder="0"/>
      <border outline="0">
        <right style="thin">
          <color indexed="8"/>
        </right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72" formatCode="hh:mm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hh:mm"/>
      <alignment horizontal="righ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166" formatCode="[$-280A]h:mm:ss\ AM/PM;@"/>
    </dxf>
    <dxf>
      <numFmt numFmtId="166" formatCode="[$-280A]h:mm:ss\ AM/PM;@"/>
    </dxf>
    <dxf>
      <numFmt numFmtId="166" formatCode="[$-280A]h:mm:ss\ AM/PM;@"/>
    </dxf>
    <dxf>
      <numFmt numFmtId="166" formatCode="[$-280A]h:mm:ss\ AM/PM;@"/>
    </dxf>
    <dxf>
      <numFmt numFmtId="173" formatCode="d/mm/yyyy"/>
      <alignment horizont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numFmt numFmtId="166" formatCode="[$-280A]h:mm:ss\ AM/PM;@"/>
    </dxf>
    <dxf>
      <numFmt numFmtId="173" formatCode="d/mm/yyyy"/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00FF99"/>
      <color rgb="FF00FFFF"/>
      <color rgb="FFFF66FF"/>
      <color rgb="FF99CCFF"/>
      <color rgb="FFFF00FF"/>
      <color rgb="FFCCEC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6</xdr:row>
      <xdr:rowOff>28575</xdr:rowOff>
    </xdr:from>
    <xdr:to>
      <xdr:col>3</xdr:col>
      <xdr:colOff>1009650</xdr:colOff>
      <xdr:row>6</xdr:row>
      <xdr:rowOff>152400</xdr:rowOff>
    </xdr:to>
    <xdr:sp macro="[0]!CONTROL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71900" y="1581150"/>
          <a:ext cx="676275" cy="1238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1438275</xdr:colOff>
          <xdr:row>13</xdr:row>
          <xdr:rowOff>142875</xdr:rowOff>
        </xdr:from>
        <xdr:to>
          <xdr:col>2</xdr:col>
          <xdr:colOff>447675</xdr:colOff>
          <xdr:row>16</xdr:row>
          <xdr:rowOff>123825</xdr:rowOff>
        </xdr:to>
        <xdr:sp macro="" textlink="">
          <xdr:nvSpPr>
            <xdr:cNvPr id="4097" name="btnRepor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13</xdr:row>
          <xdr:rowOff>123825</xdr:rowOff>
        </xdr:from>
        <xdr:to>
          <xdr:col>4</xdr:col>
          <xdr:colOff>628650</xdr:colOff>
          <xdr:row>16</xdr:row>
          <xdr:rowOff>104775</xdr:rowOff>
        </xdr:to>
        <xdr:sp macro="" textlink="">
          <xdr:nvSpPr>
            <xdr:cNvPr id="4098" name="btnBoleta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13</xdr:row>
          <xdr:rowOff>161925</xdr:rowOff>
        </xdr:from>
        <xdr:to>
          <xdr:col>1</xdr:col>
          <xdr:colOff>323850</xdr:colOff>
          <xdr:row>16</xdr:row>
          <xdr:rowOff>142875</xdr:rowOff>
        </xdr:to>
        <xdr:sp macro="" textlink="">
          <xdr:nvSpPr>
            <xdr:cNvPr id="4100" name="btnGuardar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361952</xdr:colOff>
      <xdr:row>0</xdr:row>
      <xdr:rowOff>0</xdr:rowOff>
    </xdr:from>
    <xdr:to>
      <xdr:col>1</xdr:col>
      <xdr:colOff>476453</xdr:colOff>
      <xdr:row>4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2" y="0"/>
          <a:ext cx="943176" cy="800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504646</xdr:colOff>
      <xdr:row>0</xdr:row>
      <xdr:rowOff>26418</xdr:rowOff>
    </xdr:from>
    <xdr:to>
      <xdr:col>1</xdr:col>
      <xdr:colOff>561975</xdr:colOff>
      <xdr:row>3</xdr:row>
      <xdr:rowOff>722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646" y="26418"/>
          <a:ext cx="1114604" cy="92680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F64" totalsRowShown="0">
  <autoFilter ref="A1:F64" xr:uid="{00000000-0009-0000-0100-000001000000}">
    <filterColumn colId="4">
      <filters>
        <dateGroupItem year="2021" month="11" day="29" dateTimeGrouping="day"/>
      </filters>
    </filterColumn>
  </autoFilter>
  <tableColumns count="6">
    <tableColumn id="1" xr3:uid="{00000000-0010-0000-0000-000001000000}" name="Codigo"/>
    <tableColumn id="2" xr3:uid="{00000000-0010-0000-0000-000002000000}" name="Area"/>
    <tableColumn id="3" xr3:uid="{00000000-0010-0000-0000-000003000000}" name="Horas trabajadas "/>
    <tableColumn id="4" xr3:uid="{00000000-0010-0000-0000-000004000000}" name="Registro"/>
    <tableColumn id="5" xr3:uid="{00000000-0010-0000-0000-000005000000}" name="Fecha" dataDxfId="44">
      <calculatedColumnFormula>TODAY()</calculatedColumnFormula>
    </tableColumn>
    <tableColumn id="6" xr3:uid="{00000000-0010-0000-0000-000006000000}" name="Hora" dataDxfId="43">
      <calculatedColumnFormula>TEXT(NOW(),"H:MM am/pm")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3:I95" totalsRowShown="0" headerRowDxfId="34">
  <autoFilter ref="A3:I95" xr:uid="{00000000-0009-0000-0100-000002000000}"/>
  <tableColumns count="9">
    <tableColumn id="1" xr3:uid="{00000000-0010-0000-0100-000001000000}" name="Codigo" dataDxfId="33"/>
    <tableColumn id="2" xr3:uid="{00000000-0010-0000-0100-000002000000}" name="Area" dataDxfId="32"/>
    <tableColumn id="4" xr3:uid="{00000000-0010-0000-0100-000004000000}" name="Fecha" dataDxfId="31"/>
    <tableColumn id="5" xr3:uid="{00000000-0010-0000-0100-000005000000}" name="Entrada" dataDxfId="30"/>
    <tableColumn id="6" xr3:uid="{00000000-0010-0000-0100-000006000000}" name="Inicio almuerzo" dataDxfId="29"/>
    <tableColumn id="7" xr3:uid="{00000000-0010-0000-0100-000007000000}" name="Fin almuerzo" dataDxfId="28"/>
    <tableColumn id="8" xr3:uid="{00000000-0010-0000-0100-000008000000}" name="Salida" dataDxfId="27"/>
    <tableColumn id="9" xr3:uid="{00000000-0010-0000-0100-000009000000}" name="Horas trabajadas" dataDxfId="26">
      <calculatedColumnFormula>((Tabla2[[#This Row],[Salida]] -Tabla2[[#This Row],[Entrada]])-(Tabla2[[#This Row],[Fin almuerzo]]-Tabla2[[#This Row],[Inicio almuerzo]]))*24</calculatedColumnFormula>
    </tableColumn>
    <tableColumn id="10" xr3:uid="{00000000-0010-0000-0100-00000A000000}" name="Columna1" dataDxfId="25">
      <calculatedColumnFormula>($H$1-Tabla2[[#This Row],[Horas trabajadas]])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68F10F7-D97C-4EEC-91B6-D9619F7D6FB1}" name="Tabla8" displayName="Tabla8" ref="B18:H48" totalsRowShown="0" headerRowDxfId="17" dataDxfId="16">
  <autoFilter ref="B18:H48" xr:uid="{368F10F7-D97C-4EEC-91B6-D9619F7D6FB1}"/>
  <tableColumns count="7">
    <tableColumn id="1" xr3:uid="{C741B5AD-BC4E-4DDF-8A54-19D0EC82F746}" name="DIA" dataDxfId="15">
      <calculatedColumnFormula>TEXT(Tabla8[[#This Row],[FECHA]],"dddd")</calculatedColumnFormula>
    </tableColumn>
    <tableColumn id="2" xr3:uid="{81EDD9E2-530E-447E-85A2-FB5B8A2578D3}" name="FECHA" dataDxfId="14"/>
    <tableColumn id="3" xr3:uid="{73E70672-57B9-4C70-9075-A68759984F3B}" name="ENTRADA" dataDxfId="13"/>
    <tableColumn id="4" xr3:uid="{6157444F-1406-49C9-8B49-33D722F13BC6}" name="ALMUERZO INICIO" dataDxfId="12"/>
    <tableColumn id="5" xr3:uid="{B7EE0369-141B-4491-A7E1-87B474010138}" name="ALMUERZO FIN" dataDxfId="11"/>
    <tableColumn id="6" xr3:uid="{67950041-FC7C-4B10-90D2-26520EABD255}" name="SALIDA" dataDxfId="10"/>
    <tableColumn id="7" xr3:uid="{5BC0AEA2-BC40-47EC-BA3A-192392EAE674}" name="TOTAL" dataDxfId="0">
      <calculatedColumnFormula>IF(Tabla8[[#This Row],[ENTRADA]]&gt;G$7,F$10-E$10-Tabla8[[#This Row],[ENTRADA]],IF(Tabla8[[#This Row],[SALIDA]]&lt;F$10,Tabla8[[#This Row],[SALIDA]]-E$10-D$10,G$10))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251BCB-C225-4AD5-9FC4-EC6C4F8E929F}" name="Table3" displayName="Table3" ref="C9:G15" totalsRowCount="1" headerRowDxfId="9">
  <autoFilter ref="C9:G14" xr:uid="{23251BCB-C225-4AD5-9FC4-EC6C4F8E929F}"/>
  <tableColumns count="5">
    <tableColumn id="1" xr3:uid="{E0A84808-992E-4EBD-BF70-C0E94D839965}" name="Dia"/>
    <tableColumn id="2" xr3:uid="{4D95C93C-A86C-4F69-95C4-79CBF031DC9A}" name="Entrada" dataDxfId="8" totalsRowDxfId="7"/>
    <tableColumn id="3" xr3:uid="{90769DA8-B4F0-415B-8AF5-3B9D03D80B1D}" name="Descanso" dataDxfId="6" totalsRowDxfId="5"/>
    <tableColumn id="4" xr3:uid="{F854A6EF-42E9-4079-A455-B06D4140DF3D}" name="Salida" dataDxfId="4" totalsRowDxfId="3"/>
    <tableColumn id="5" xr3:uid="{A5ED281D-B560-4984-8B62-44B34246263B}" name="Total" totalsRowFunction="custom" dataDxfId="2" totalsRowDxfId="1">
      <calculatedColumnFormula>F10-D10-E10</calculatedColumnFormula>
      <totalsRowFormula>SUM(Table3[Total])</totalsRow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D7"/>
  <sheetViews>
    <sheetView workbookViewId="0">
      <selection activeCell="C19" sqref="C19"/>
    </sheetView>
  </sheetViews>
  <sheetFormatPr baseColWidth="10" defaultColWidth="11" defaultRowHeight="15.75" x14ac:dyDescent="0.25"/>
  <cols>
    <col min="1" max="1" width="6.75" customWidth="1"/>
    <col min="2" max="2" width="14.625" customWidth="1"/>
    <col min="3" max="3" width="23.75" customWidth="1"/>
    <col min="4" max="4" width="25.125" customWidth="1"/>
  </cols>
  <sheetData>
    <row r="1" spans="2:4" ht="16.5" thickBot="1" x14ac:dyDescent="0.3"/>
    <row r="2" spans="2:4" x14ac:dyDescent="0.25">
      <c r="B2" s="92" t="s">
        <v>18</v>
      </c>
      <c r="C2" s="93"/>
      <c r="D2" s="94"/>
    </row>
    <row r="3" spans="2:4" ht="40.5" customHeight="1" x14ac:dyDescent="0.7">
      <c r="B3" s="95" t="str">
        <f ca="1">TEXT(NOW(),"H:MM am/pm")</f>
        <v>9:48 a. m.</v>
      </c>
      <c r="C3" s="96"/>
      <c r="D3" s="97"/>
    </row>
    <row r="4" spans="2:4" ht="16.5" thickBot="1" x14ac:dyDescent="0.3">
      <c r="B4" s="98">
        <f ca="1">TODAY()</f>
        <v>45989</v>
      </c>
      <c r="C4" s="99"/>
      <c r="D4" s="100"/>
    </row>
    <row r="5" spans="2:4" ht="16.5" thickBot="1" x14ac:dyDescent="0.3">
      <c r="B5" s="6" t="s">
        <v>10</v>
      </c>
      <c r="C5" s="5"/>
      <c r="D5" s="7" t="s">
        <v>14</v>
      </c>
    </row>
    <row r="6" spans="2:4" ht="16.5" thickBot="1" x14ac:dyDescent="0.3">
      <c r="B6" s="6" t="s">
        <v>11</v>
      </c>
      <c r="C6" s="2" t="e">
        <f>VLOOKUP(C5,#REF!,2,0)</f>
        <v>#REF!</v>
      </c>
      <c r="D6" s="7" t="s">
        <v>15</v>
      </c>
    </row>
    <row r="7" spans="2:4" ht="16.5" thickBot="1" x14ac:dyDescent="0.3">
      <c r="B7" s="8"/>
      <c r="C7" s="9"/>
      <c r="D7" s="10"/>
    </row>
  </sheetData>
  <mergeCells count="3">
    <mergeCell ref="B2:D2"/>
    <mergeCell ref="B3:D3"/>
    <mergeCell ref="B4:D4"/>
  </mergeCells>
  <dataValidations count="1">
    <dataValidation type="list" allowBlank="1" showInputMessage="1" showErrorMessage="1" sqref="D6 C5" xr:uid="{00000000-0002-0000-0000-000000000000}">
      <formula1>#REF!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85"/>
  <sheetViews>
    <sheetView zoomScale="69" zoomScaleNormal="69" workbookViewId="0">
      <selection activeCell="G3" sqref="G3"/>
    </sheetView>
  </sheetViews>
  <sheetFormatPr baseColWidth="10" defaultColWidth="11" defaultRowHeight="15.75" x14ac:dyDescent="0.25"/>
  <cols>
    <col min="2" max="2" width="16.75" customWidth="1"/>
    <col min="3" max="3" width="17.75" customWidth="1"/>
    <col min="6" max="6" width="11.375" bestFit="1" customWidth="1"/>
    <col min="8" max="8" width="18.5" customWidth="1"/>
    <col min="9" max="9" width="12.375" bestFit="1" customWidth="1"/>
    <col min="10" max="10" width="14" customWidth="1"/>
  </cols>
  <sheetData>
    <row r="1" spans="1:9" x14ac:dyDescent="0.25">
      <c r="A1" t="s">
        <v>10</v>
      </c>
      <c r="B1" t="s">
        <v>11</v>
      </c>
      <c r="C1" t="s">
        <v>19</v>
      </c>
      <c r="D1" t="s">
        <v>12</v>
      </c>
      <c r="E1" s="4" t="s">
        <v>17</v>
      </c>
      <c r="F1" s="17" t="s">
        <v>13</v>
      </c>
      <c r="H1" s="14"/>
      <c r="I1" s="16"/>
    </row>
    <row r="2" spans="1:9" hidden="1" x14ac:dyDescent="0.25">
      <c r="A2" t="s">
        <v>7</v>
      </c>
      <c r="B2" t="s">
        <v>2</v>
      </c>
      <c r="D2" t="s">
        <v>15</v>
      </c>
      <c r="E2" s="4">
        <v>44547</v>
      </c>
      <c r="F2" s="17" t="s">
        <v>112</v>
      </c>
      <c r="H2" s="14"/>
      <c r="I2" s="16"/>
    </row>
    <row r="3" spans="1:9" hidden="1" x14ac:dyDescent="0.25">
      <c r="A3" t="s">
        <v>6</v>
      </c>
      <c r="B3" t="s">
        <v>3</v>
      </c>
      <c r="D3" t="s">
        <v>16</v>
      </c>
      <c r="E3" s="4">
        <v>44546</v>
      </c>
      <c r="F3" s="17" t="s">
        <v>111</v>
      </c>
      <c r="H3" s="14"/>
      <c r="I3" s="16"/>
    </row>
    <row r="4" spans="1:9" hidden="1" x14ac:dyDescent="0.25">
      <c r="A4" t="s">
        <v>7</v>
      </c>
      <c r="B4" t="s">
        <v>2</v>
      </c>
      <c r="D4" t="s">
        <v>15</v>
      </c>
      <c r="E4" s="4">
        <v>44546</v>
      </c>
      <c r="F4" s="17" t="s">
        <v>90</v>
      </c>
      <c r="H4" s="14"/>
      <c r="I4" s="16"/>
    </row>
    <row r="5" spans="1:9" hidden="1" x14ac:dyDescent="0.25">
      <c r="A5" t="s">
        <v>6</v>
      </c>
      <c r="B5" t="s">
        <v>3</v>
      </c>
      <c r="D5" t="s">
        <v>15</v>
      </c>
      <c r="E5" s="4">
        <v>44546</v>
      </c>
      <c r="F5" s="17" t="s">
        <v>88</v>
      </c>
      <c r="H5" s="14"/>
      <c r="I5" s="16"/>
    </row>
    <row r="6" spans="1:9" hidden="1" x14ac:dyDescent="0.25">
      <c r="A6" t="s">
        <v>7</v>
      </c>
      <c r="B6" t="s">
        <v>2</v>
      </c>
      <c r="D6" t="s">
        <v>16</v>
      </c>
      <c r="E6" s="4">
        <v>44543</v>
      </c>
      <c r="F6" s="17" t="s">
        <v>89</v>
      </c>
      <c r="H6" s="14"/>
      <c r="I6" s="16"/>
    </row>
    <row r="7" spans="1:9" hidden="1" x14ac:dyDescent="0.25">
      <c r="A7" t="s">
        <v>6</v>
      </c>
      <c r="B7" t="s">
        <v>3</v>
      </c>
      <c r="D7" t="s">
        <v>16</v>
      </c>
      <c r="E7" s="4">
        <v>44543</v>
      </c>
      <c r="F7" s="17" t="s">
        <v>89</v>
      </c>
      <c r="H7" s="14"/>
      <c r="I7" s="16"/>
    </row>
    <row r="8" spans="1:9" hidden="1" x14ac:dyDescent="0.25">
      <c r="A8" t="s">
        <v>7</v>
      </c>
      <c r="B8" t="s">
        <v>2</v>
      </c>
      <c r="D8" t="s">
        <v>15</v>
      </c>
      <c r="E8" s="4">
        <v>44543</v>
      </c>
      <c r="F8" s="17" t="s">
        <v>88</v>
      </c>
      <c r="H8" s="14"/>
      <c r="I8" s="16"/>
    </row>
    <row r="9" spans="1:9" hidden="1" x14ac:dyDescent="0.25">
      <c r="A9" t="s">
        <v>6</v>
      </c>
      <c r="B9" t="s">
        <v>3</v>
      </c>
      <c r="D9" t="s">
        <v>15</v>
      </c>
      <c r="E9" s="4">
        <v>44543</v>
      </c>
      <c r="F9" s="17" t="s">
        <v>87</v>
      </c>
      <c r="H9" s="14"/>
      <c r="I9" s="16"/>
    </row>
    <row r="10" spans="1:9" hidden="1" x14ac:dyDescent="0.25">
      <c r="A10" t="s">
        <v>4</v>
      </c>
      <c r="B10" t="s">
        <v>1</v>
      </c>
      <c r="D10" t="s">
        <v>16</v>
      </c>
      <c r="E10" s="4">
        <v>44540</v>
      </c>
      <c r="F10" s="17" t="s">
        <v>77</v>
      </c>
      <c r="H10" s="14"/>
      <c r="I10" s="16"/>
    </row>
    <row r="11" spans="1:9" hidden="1" x14ac:dyDescent="0.25">
      <c r="A11" t="s">
        <v>4</v>
      </c>
      <c r="B11" t="s">
        <v>1</v>
      </c>
      <c r="D11" t="s">
        <v>16</v>
      </c>
      <c r="E11" s="4">
        <v>44539</v>
      </c>
      <c r="F11" s="17" t="s">
        <v>85</v>
      </c>
      <c r="H11" s="14"/>
      <c r="I11" s="16"/>
    </row>
    <row r="12" spans="1:9" hidden="1" x14ac:dyDescent="0.25">
      <c r="A12" t="s">
        <v>7</v>
      </c>
      <c r="B12" t="s">
        <v>2</v>
      </c>
      <c r="D12" t="s">
        <v>16</v>
      </c>
      <c r="E12" s="4">
        <v>44539</v>
      </c>
      <c r="F12" s="17" t="s">
        <v>84</v>
      </c>
      <c r="H12" s="14"/>
      <c r="I12" s="16"/>
    </row>
    <row r="13" spans="1:9" hidden="1" x14ac:dyDescent="0.25">
      <c r="A13" t="s">
        <v>6</v>
      </c>
      <c r="B13" t="s">
        <v>3</v>
      </c>
      <c r="D13" t="s">
        <v>16</v>
      </c>
      <c r="E13" s="4">
        <v>44539</v>
      </c>
      <c r="F13" s="17" t="s">
        <v>83</v>
      </c>
      <c r="H13" s="14"/>
      <c r="I13" s="16"/>
    </row>
    <row r="14" spans="1:9" hidden="1" x14ac:dyDescent="0.25">
      <c r="A14" t="s">
        <v>4</v>
      </c>
      <c r="B14" t="s">
        <v>1</v>
      </c>
      <c r="D14" t="s">
        <v>16</v>
      </c>
      <c r="E14" s="4">
        <v>44537</v>
      </c>
      <c r="F14" s="17" t="s">
        <v>82</v>
      </c>
      <c r="H14" s="14"/>
      <c r="I14" s="16"/>
    </row>
    <row r="15" spans="1:9" hidden="1" x14ac:dyDescent="0.25">
      <c r="A15" t="s">
        <v>7</v>
      </c>
      <c r="B15" t="s">
        <v>2</v>
      </c>
      <c r="D15" t="s">
        <v>16</v>
      </c>
      <c r="E15" s="4">
        <v>44537</v>
      </c>
      <c r="F15" s="17" t="s">
        <v>81</v>
      </c>
      <c r="H15" s="14"/>
      <c r="I15" s="16"/>
    </row>
    <row r="16" spans="1:9" hidden="1" x14ac:dyDescent="0.25">
      <c r="A16" t="s">
        <v>6</v>
      </c>
      <c r="B16" t="s">
        <v>3</v>
      </c>
      <c r="D16" t="s">
        <v>16</v>
      </c>
      <c r="E16" s="4">
        <v>44537</v>
      </c>
      <c r="F16" s="17" t="s">
        <v>80</v>
      </c>
      <c r="H16" s="14"/>
      <c r="I16" s="16"/>
    </row>
    <row r="17" spans="1:9" hidden="1" x14ac:dyDescent="0.25">
      <c r="A17" t="s">
        <v>6</v>
      </c>
      <c r="B17" t="s">
        <v>3</v>
      </c>
      <c r="D17" t="s">
        <v>15</v>
      </c>
      <c r="E17" s="4">
        <v>44537</v>
      </c>
      <c r="F17" s="17" t="s">
        <v>79</v>
      </c>
      <c r="H17" s="14"/>
      <c r="I17" s="16"/>
    </row>
    <row r="18" spans="1:9" hidden="1" x14ac:dyDescent="0.25">
      <c r="A18" t="s">
        <v>9</v>
      </c>
      <c r="B18" t="s">
        <v>2</v>
      </c>
      <c r="D18" t="s">
        <v>16</v>
      </c>
      <c r="E18" s="4">
        <v>44533</v>
      </c>
      <c r="F18" s="17" t="s">
        <v>73</v>
      </c>
      <c r="H18" s="14"/>
      <c r="I18" s="16"/>
    </row>
    <row r="19" spans="1:9" hidden="1" x14ac:dyDescent="0.25">
      <c r="A19" t="s">
        <v>5</v>
      </c>
      <c r="B19" t="s">
        <v>0</v>
      </c>
      <c r="D19" t="s">
        <v>16</v>
      </c>
      <c r="E19" s="4">
        <v>44533</v>
      </c>
      <c r="F19" s="17" t="s">
        <v>73</v>
      </c>
      <c r="H19" s="14"/>
      <c r="I19" s="16"/>
    </row>
    <row r="20" spans="1:9" hidden="1" x14ac:dyDescent="0.25">
      <c r="A20" t="s">
        <v>4</v>
      </c>
      <c r="B20" t="s">
        <v>1</v>
      </c>
      <c r="D20" t="s">
        <v>16</v>
      </c>
      <c r="E20" s="4">
        <v>44533</v>
      </c>
      <c r="F20" s="17" t="s">
        <v>78</v>
      </c>
      <c r="H20" s="14"/>
      <c r="I20" s="16"/>
    </row>
    <row r="21" spans="1:9" hidden="1" x14ac:dyDescent="0.25">
      <c r="A21" t="s">
        <v>6</v>
      </c>
      <c r="B21" t="s">
        <v>3</v>
      </c>
      <c r="D21" t="s">
        <v>16</v>
      </c>
      <c r="E21" s="4">
        <v>44533</v>
      </c>
      <c r="F21" s="17" t="s">
        <v>45</v>
      </c>
      <c r="H21" s="14"/>
      <c r="I21" s="16"/>
    </row>
    <row r="22" spans="1:9" hidden="1" x14ac:dyDescent="0.25">
      <c r="A22" t="s">
        <v>4</v>
      </c>
      <c r="B22" t="s">
        <v>1</v>
      </c>
      <c r="D22" t="s">
        <v>16</v>
      </c>
      <c r="E22" s="4">
        <v>44532</v>
      </c>
      <c r="F22" s="17" t="s">
        <v>77</v>
      </c>
      <c r="H22" s="14"/>
      <c r="I22" s="16"/>
    </row>
    <row r="23" spans="1:9" hidden="1" x14ac:dyDescent="0.25">
      <c r="A23" t="s">
        <v>6</v>
      </c>
      <c r="B23" t="s">
        <v>3</v>
      </c>
      <c r="D23" t="s">
        <v>16</v>
      </c>
      <c r="E23" s="4">
        <v>44532</v>
      </c>
      <c r="F23" s="17" t="s">
        <v>77</v>
      </c>
      <c r="H23" s="14"/>
      <c r="I23" s="16"/>
    </row>
    <row r="24" spans="1:9" hidden="1" x14ac:dyDescent="0.25">
      <c r="A24" t="s">
        <v>7</v>
      </c>
      <c r="B24" t="s">
        <v>2</v>
      </c>
      <c r="D24" t="s">
        <v>16</v>
      </c>
      <c r="E24" s="4">
        <v>44532</v>
      </c>
      <c r="F24" s="17" t="s">
        <v>76</v>
      </c>
      <c r="H24" s="14"/>
      <c r="I24" s="16"/>
    </row>
    <row r="25" spans="1:9" hidden="1" x14ac:dyDescent="0.25">
      <c r="A25" t="s">
        <v>6</v>
      </c>
      <c r="B25" t="s">
        <v>3</v>
      </c>
      <c r="D25" t="s">
        <v>15</v>
      </c>
      <c r="E25" s="4">
        <v>44532</v>
      </c>
      <c r="F25" s="17" t="s">
        <v>75</v>
      </c>
      <c r="H25" s="14"/>
      <c r="I25" s="16"/>
    </row>
    <row r="26" spans="1:9" hidden="1" x14ac:dyDescent="0.25">
      <c r="A26" t="s">
        <v>7</v>
      </c>
      <c r="B26" t="s">
        <v>2</v>
      </c>
      <c r="D26" t="s">
        <v>15</v>
      </c>
      <c r="E26" s="4">
        <v>44532</v>
      </c>
      <c r="F26" s="17" t="s">
        <v>74</v>
      </c>
      <c r="H26" s="14"/>
      <c r="I26" s="16"/>
    </row>
    <row r="27" spans="1:9" hidden="1" x14ac:dyDescent="0.25">
      <c r="A27" t="s">
        <v>4</v>
      </c>
      <c r="B27" t="s">
        <v>1</v>
      </c>
      <c r="D27" t="s">
        <v>16</v>
      </c>
      <c r="E27" s="4">
        <v>44531</v>
      </c>
      <c r="F27" s="17" t="s">
        <v>73</v>
      </c>
      <c r="H27" s="14"/>
      <c r="I27" s="16"/>
    </row>
    <row r="28" spans="1:9" hidden="1" x14ac:dyDescent="0.25">
      <c r="A28" t="s">
        <v>5</v>
      </c>
      <c r="B28" t="s">
        <v>0</v>
      </c>
      <c r="D28" t="s">
        <v>16</v>
      </c>
      <c r="E28" s="4">
        <v>44531</v>
      </c>
      <c r="F28" s="17" t="s">
        <v>72</v>
      </c>
      <c r="H28" s="14"/>
      <c r="I28" s="16"/>
    </row>
    <row r="29" spans="1:9" hidden="1" x14ac:dyDescent="0.25">
      <c r="A29" t="s">
        <v>7</v>
      </c>
      <c r="B29" t="s">
        <v>2</v>
      </c>
      <c r="D29" t="s">
        <v>16</v>
      </c>
      <c r="E29" s="4">
        <v>44531</v>
      </c>
      <c r="F29" s="17" t="s">
        <v>71</v>
      </c>
      <c r="H29" s="14"/>
      <c r="I29" s="16"/>
    </row>
    <row r="30" spans="1:9" hidden="1" x14ac:dyDescent="0.25">
      <c r="A30" t="s">
        <v>8</v>
      </c>
      <c r="B30" t="s">
        <v>2</v>
      </c>
      <c r="D30" t="s">
        <v>15</v>
      </c>
      <c r="E30" s="4">
        <v>44531</v>
      </c>
      <c r="F30" s="17" t="s">
        <v>70</v>
      </c>
      <c r="H30" s="14"/>
      <c r="I30" s="16"/>
    </row>
    <row r="31" spans="1:9" hidden="1" x14ac:dyDescent="0.25">
      <c r="A31" t="s">
        <v>5</v>
      </c>
      <c r="B31" t="s">
        <v>0</v>
      </c>
      <c r="D31" t="s">
        <v>15</v>
      </c>
      <c r="E31" s="4">
        <v>44531</v>
      </c>
      <c r="F31" s="17" t="s">
        <v>50</v>
      </c>
      <c r="H31" s="14"/>
      <c r="I31" s="16"/>
    </row>
    <row r="32" spans="1:9" hidden="1" x14ac:dyDescent="0.25">
      <c r="A32" t="s">
        <v>4</v>
      </c>
      <c r="B32" t="s">
        <v>1</v>
      </c>
      <c r="D32" t="s">
        <v>15</v>
      </c>
      <c r="E32" s="4">
        <v>44531</v>
      </c>
      <c r="F32" s="17" t="s">
        <v>61</v>
      </c>
      <c r="H32" s="14"/>
      <c r="I32" s="16"/>
    </row>
    <row r="33" spans="1:9" hidden="1" x14ac:dyDescent="0.25">
      <c r="A33" t="s">
        <v>4</v>
      </c>
      <c r="B33" t="s">
        <v>1</v>
      </c>
      <c r="D33" t="s">
        <v>43</v>
      </c>
      <c r="E33" s="4">
        <v>44530</v>
      </c>
      <c r="F33" s="17" t="s">
        <v>47</v>
      </c>
      <c r="H33" s="14"/>
      <c r="I33" s="16"/>
    </row>
    <row r="34" spans="1:9" hidden="1" x14ac:dyDescent="0.25">
      <c r="A34" t="s">
        <v>5</v>
      </c>
      <c r="B34" t="s">
        <v>0</v>
      </c>
      <c r="D34" t="s">
        <v>43</v>
      </c>
      <c r="E34" s="4">
        <v>44530</v>
      </c>
      <c r="F34" s="17" t="s">
        <v>65</v>
      </c>
      <c r="H34" s="14"/>
      <c r="I34" s="16"/>
    </row>
    <row r="35" spans="1:9" hidden="1" x14ac:dyDescent="0.25">
      <c r="A35" t="s">
        <v>6</v>
      </c>
      <c r="B35" t="s">
        <v>3</v>
      </c>
      <c r="D35" t="s">
        <v>43</v>
      </c>
      <c r="E35" s="4">
        <v>44530</v>
      </c>
      <c r="F35" s="17" t="s">
        <v>69</v>
      </c>
      <c r="H35" s="14"/>
      <c r="I35" s="16"/>
    </row>
    <row r="36" spans="1:9" hidden="1" x14ac:dyDescent="0.25">
      <c r="A36" t="s">
        <v>5</v>
      </c>
      <c r="B36" t="s">
        <v>0</v>
      </c>
      <c r="D36" t="s">
        <v>15</v>
      </c>
      <c r="E36" s="4">
        <v>44530</v>
      </c>
      <c r="F36" s="17" t="s">
        <v>68</v>
      </c>
      <c r="H36" s="14"/>
      <c r="I36" s="15"/>
    </row>
    <row r="37" spans="1:9" hidden="1" x14ac:dyDescent="0.25">
      <c r="A37" t="s">
        <v>8</v>
      </c>
      <c r="B37" t="s">
        <v>2</v>
      </c>
      <c r="D37" t="s">
        <v>15</v>
      </c>
      <c r="E37" s="4">
        <v>44530</v>
      </c>
      <c r="F37" s="17">
        <v>0.31388888888888888</v>
      </c>
      <c r="H37" s="14"/>
      <c r="I37" s="15"/>
    </row>
    <row r="38" spans="1:9" hidden="1" x14ac:dyDescent="0.25">
      <c r="A38" t="s">
        <v>9</v>
      </c>
      <c r="B38" t="s">
        <v>2</v>
      </c>
      <c r="D38" t="s">
        <v>15</v>
      </c>
      <c r="E38" s="4">
        <v>44530</v>
      </c>
      <c r="F38" s="17" t="s">
        <v>67</v>
      </c>
      <c r="H38" s="14"/>
      <c r="I38" s="15"/>
    </row>
    <row r="39" spans="1:9" hidden="1" x14ac:dyDescent="0.25">
      <c r="A39" t="s">
        <v>4</v>
      </c>
      <c r="B39" t="s">
        <v>1</v>
      </c>
      <c r="D39" t="s">
        <v>15</v>
      </c>
      <c r="E39" s="4">
        <v>44530</v>
      </c>
      <c r="F39" s="17" t="s">
        <v>66</v>
      </c>
      <c r="H39" s="14"/>
      <c r="I39" s="15"/>
    </row>
    <row r="40" spans="1:9" x14ac:dyDescent="0.25">
      <c r="A40" t="s">
        <v>4</v>
      </c>
      <c r="B40" t="s">
        <v>1</v>
      </c>
      <c r="D40" t="s">
        <v>16</v>
      </c>
      <c r="E40" s="4">
        <v>44529</v>
      </c>
      <c r="F40" s="17" t="s">
        <v>65</v>
      </c>
      <c r="H40" s="14"/>
      <c r="I40" s="15"/>
    </row>
    <row r="41" spans="1:9" x14ac:dyDescent="0.25">
      <c r="A41" t="s">
        <v>7</v>
      </c>
      <c r="B41" t="s">
        <v>2</v>
      </c>
      <c r="D41" t="s">
        <v>16</v>
      </c>
      <c r="E41" s="4">
        <v>44529</v>
      </c>
      <c r="F41" s="17" t="s">
        <v>59</v>
      </c>
      <c r="H41" s="14"/>
      <c r="I41" s="15"/>
    </row>
    <row r="42" spans="1:9" x14ac:dyDescent="0.25">
      <c r="A42" t="s">
        <v>8</v>
      </c>
      <c r="B42" t="s">
        <v>2</v>
      </c>
      <c r="D42" t="s">
        <v>42</v>
      </c>
      <c r="E42" s="4">
        <v>44529</v>
      </c>
      <c r="F42" s="17" t="s">
        <v>62</v>
      </c>
      <c r="H42" s="14"/>
      <c r="I42" s="15"/>
    </row>
    <row r="43" spans="1:9" x14ac:dyDescent="0.25">
      <c r="A43" t="s">
        <v>9</v>
      </c>
      <c r="B43" t="s">
        <v>2</v>
      </c>
      <c r="D43" t="s">
        <v>42</v>
      </c>
      <c r="E43" s="4">
        <v>44529</v>
      </c>
      <c r="F43" s="17" t="s">
        <v>61</v>
      </c>
      <c r="H43" s="14"/>
      <c r="I43" s="15"/>
    </row>
    <row r="44" spans="1:9" x14ac:dyDescent="0.25">
      <c r="A44" t="s">
        <v>4</v>
      </c>
      <c r="B44" t="s">
        <v>1</v>
      </c>
      <c r="D44" t="s">
        <v>42</v>
      </c>
      <c r="E44" s="4">
        <v>44529</v>
      </c>
      <c r="F44" s="17" t="s">
        <v>60</v>
      </c>
      <c r="H44" s="14"/>
      <c r="I44" s="15"/>
    </row>
    <row r="45" spans="1:9" hidden="1" x14ac:dyDescent="0.25">
      <c r="A45" t="s">
        <v>4</v>
      </c>
      <c r="B45" t="s">
        <v>1</v>
      </c>
      <c r="D45" t="s">
        <v>16</v>
      </c>
      <c r="E45" s="4">
        <v>44526</v>
      </c>
      <c r="F45" s="17" t="s">
        <v>59</v>
      </c>
      <c r="H45" s="14"/>
      <c r="I45" s="15"/>
    </row>
    <row r="46" spans="1:9" hidden="1" x14ac:dyDescent="0.25">
      <c r="A46" t="s">
        <v>5</v>
      </c>
      <c r="B46" t="s">
        <v>0</v>
      </c>
      <c r="D46" t="s">
        <v>16</v>
      </c>
      <c r="E46" s="4">
        <v>44526</v>
      </c>
      <c r="F46" s="17" t="s">
        <v>59</v>
      </c>
      <c r="H46" s="14"/>
      <c r="I46" s="15"/>
    </row>
    <row r="47" spans="1:9" hidden="1" x14ac:dyDescent="0.25">
      <c r="A47" t="s">
        <v>9</v>
      </c>
      <c r="B47" t="s">
        <v>2</v>
      </c>
      <c r="D47" t="s">
        <v>16</v>
      </c>
      <c r="E47" s="4">
        <v>44526</v>
      </c>
      <c r="F47" s="17" t="s">
        <v>59</v>
      </c>
      <c r="H47" s="14"/>
      <c r="I47" s="15"/>
    </row>
    <row r="48" spans="1:9" hidden="1" x14ac:dyDescent="0.25">
      <c r="A48" t="s">
        <v>8</v>
      </c>
      <c r="B48" t="s">
        <v>2</v>
      </c>
      <c r="D48" t="s">
        <v>16</v>
      </c>
      <c r="E48" s="4">
        <v>44526</v>
      </c>
      <c r="F48" s="17" t="s">
        <v>59</v>
      </c>
      <c r="H48" s="14"/>
      <c r="I48" s="15"/>
    </row>
    <row r="49" spans="1:9" hidden="1" x14ac:dyDescent="0.25">
      <c r="A49" t="s">
        <v>6</v>
      </c>
      <c r="B49" t="s">
        <v>3</v>
      </c>
      <c r="D49" t="s">
        <v>16</v>
      </c>
      <c r="E49" s="4">
        <v>44526</v>
      </c>
      <c r="F49" s="17" t="s">
        <v>58</v>
      </c>
      <c r="H49" s="14"/>
      <c r="I49" s="15"/>
    </row>
    <row r="50" spans="1:9" hidden="1" x14ac:dyDescent="0.25">
      <c r="A50" t="s">
        <v>6</v>
      </c>
      <c r="B50" t="s">
        <v>3</v>
      </c>
      <c r="D50" t="s">
        <v>15</v>
      </c>
      <c r="E50" s="4">
        <v>44526</v>
      </c>
      <c r="F50" s="17" t="s">
        <v>52</v>
      </c>
      <c r="H50" s="14"/>
      <c r="I50" s="15"/>
    </row>
    <row r="51" spans="1:9" hidden="1" x14ac:dyDescent="0.25">
      <c r="A51" t="s">
        <v>9</v>
      </c>
      <c r="B51" t="s">
        <v>2</v>
      </c>
      <c r="D51" t="s">
        <v>15</v>
      </c>
      <c r="E51" s="4">
        <v>44526</v>
      </c>
      <c r="F51" s="17" t="s">
        <v>51</v>
      </c>
      <c r="H51" s="14"/>
      <c r="I51" s="15"/>
    </row>
    <row r="52" spans="1:9" hidden="1" x14ac:dyDescent="0.25">
      <c r="A52" t="s">
        <v>5</v>
      </c>
      <c r="B52" t="s">
        <v>0</v>
      </c>
      <c r="D52" t="s">
        <v>15</v>
      </c>
      <c r="E52" s="4">
        <v>44526</v>
      </c>
      <c r="F52" s="19" t="s">
        <v>50</v>
      </c>
      <c r="H52" s="14"/>
      <c r="I52" s="15"/>
    </row>
    <row r="53" spans="1:9" hidden="1" x14ac:dyDescent="0.25">
      <c r="A53" t="s">
        <v>8</v>
      </c>
      <c r="B53" t="s">
        <v>2</v>
      </c>
      <c r="D53" t="s">
        <v>42</v>
      </c>
      <c r="E53" s="4">
        <v>44526</v>
      </c>
      <c r="F53" s="19" t="s">
        <v>49</v>
      </c>
      <c r="H53" s="14"/>
      <c r="I53" s="15"/>
    </row>
    <row r="54" spans="1:9" hidden="1" x14ac:dyDescent="0.25">
      <c r="A54" t="s">
        <v>4</v>
      </c>
      <c r="B54" t="s">
        <v>1</v>
      </c>
      <c r="D54" t="s">
        <v>42</v>
      </c>
      <c r="E54" s="4">
        <v>44526</v>
      </c>
      <c r="F54" s="22" t="s">
        <v>48</v>
      </c>
      <c r="H54" s="14"/>
      <c r="I54" s="15"/>
    </row>
    <row r="55" spans="1:9" hidden="1" x14ac:dyDescent="0.25">
      <c r="A55" t="s">
        <v>4</v>
      </c>
      <c r="B55" t="s">
        <v>1</v>
      </c>
      <c r="D55" t="s">
        <v>16</v>
      </c>
      <c r="E55" s="4">
        <v>44525</v>
      </c>
      <c r="F55" s="21" t="s">
        <v>47</v>
      </c>
      <c r="H55" s="14"/>
      <c r="I55" s="15"/>
    </row>
    <row r="56" spans="1:9" hidden="1" x14ac:dyDescent="0.25">
      <c r="A56" t="s">
        <v>5</v>
      </c>
      <c r="B56" t="s">
        <v>0</v>
      </c>
      <c r="D56" t="s">
        <v>16</v>
      </c>
      <c r="E56" s="4">
        <v>44525</v>
      </c>
      <c r="F56" s="20" t="s">
        <v>46</v>
      </c>
      <c r="H56" s="14"/>
      <c r="I56" s="15"/>
    </row>
    <row r="57" spans="1:9" hidden="1" x14ac:dyDescent="0.25">
      <c r="A57" t="s">
        <v>7</v>
      </c>
      <c r="B57" t="s">
        <v>2</v>
      </c>
      <c r="D57" t="s">
        <v>16</v>
      </c>
      <c r="E57" s="4">
        <v>44525</v>
      </c>
      <c r="F57" s="20" t="s">
        <v>45</v>
      </c>
      <c r="H57" s="14"/>
      <c r="I57" s="15"/>
    </row>
    <row r="58" spans="1:9" hidden="1" x14ac:dyDescent="0.25">
      <c r="A58" t="s">
        <v>6</v>
      </c>
      <c r="B58" t="s">
        <v>3</v>
      </c>
      <c r="D58" t="s">
        <v>16</v>
      </c>
      <c r="E58" s="4">
        <v>44525</v>
      </c>
      <c r="F58" s="20" t="s">
        <v>44</v>
      </c>
      <c r="H58" s="14"/>
      <c r="I58" s="15"/>
    </row>
    <row r="59" spans="1:9" hidden="1" x14ac:dyDescent="0.25">
      <c r="A59" t="s">
        <v>6</v>
      </c>
      <c r="B59" t="s">
        <v>3</v>
      </c>
      <c r="D59" t="s">
        <v>42</v>
      </c>
      <c r="E59" s="4">
        <v>44525</v>
      </c>
      <c r="F59" s="19" t="s">
        <v>41</v>
      </c>
      <c r="H59" s="14"/>
      <c r="I59" s="15"/>
    </row>
    <row r="60" spans="1:9" hidden="1" x14ac:dyDescent="0.25">
      <c r="A60" t="s">
        <v>7</v>
      </c>
      <c r="B60" t="s">
        <v>2</v>
      </c>
      <c r="D60" t="s">
        <v>42</v>
      </c>
      <c r="E60" s="4">
        <v>44525</v>
      </c>
      <c r="F60" s="19" t="s">
        <v>40</v>
      </c>
      <c r="H60" s="14"/>
      <c r="I60" s="15"/>
    </row>
    <row r="61" spans="1:9" hidden="1" x14ac:dyDescent="0.25">
      <c r="A61" t="s">
        <v>8</v>
      </c>
      <c r="B61" t="s">
        <v>2</v>
      </c>
      <c r="D61" t="s">
        <v>42</v>
      </c>
      <c r="E61" s="4">
        <v>44525</v>
      </c>
      <c r="F61" s="19" t="s">
        <v>37</v>
      </c>
      <c r="H61" s="14"/>
      <c r="I61" s="17">
        <v>0.30555555555555552</v>
      </c>
    </row>
    <row r="62" spans="1:9" hidden="1" x14ac:dyDescent="0.25">
      <c r="A62" s="12" t="s">
        <v>4</v>
      </c>
      <c r="B62" s="12" t="s">
        <v>1</v>
      </c>
      <c r="C62" s="12"/>
      <c r="D62" s="12" t="s">
        <v>16</v>
      </c>
      <c r="E62" s="13">
        <v>44525</v>
      </c>
      <c r="F62" s="18" t="s">
        <v>36</v>
      </c>
      <c r="H62" s="1"/>
      <c r="I62" s="17">
        <v>0.3125</v>
      </c>
    </row>
    <row r="63" spans="1:9" hidden="1" x14ac:dyDescent="0.25">
      <c r="A63" s="12" t="s">
        <v>9</v>
      </c>
      <c r="B63" s="12" t="s">
        <v>2</v>
      </c>
      <c r="C63" s="12"/>
      <c r="D63" s="12" t="s">
        <v>16</v>
      </c>
      <c r="E63" s="13">
        <v>44525</v>
      </c>
      <c r="F63" s="18" t="s">
        <v>35</v>
      </c>
      <c r="I63" s="17">
        <v>0.31944444444444448</v>
      </c>
    </row>
    <row r="64" spans="1:9" hidden="1" x14ac:dyDescent="0.25">
      <c r="A64" s="12"/>
      <c r="B64" s="12"/>
      <c r="C64" s="12"/>
      <c r="D64" s="12"/>
      <c r="E64" s="13">
        <f ca="1">TODAY()</f>
        <v>45989</v>
      </c>
      <c r="F64" s="18" t="str">
        <f ca="1">TEXT(NOW(),"H:MM am/pm")</f>
        <v>9:48 a. m.</v>
      </c>
      <c r="I64" s="17">
        <v>0.31319444444444444</v>
      </c>
    </row>
    <row r="65" spans="5:10" x14ac:dyDescent="0.25">
      <c r="E65" s="4"/>
      <c r="F65" s="11"/>
      <c r="I65" s="17">
        <v>0.31875000000000003</v>
      </c>
    </row>
    <row r="66" spans="5:10" x14ac:dyDescent="0.25">
      <c r="E66" s="4"/>
      <c r="F66" s="11"/>
      <c r="I66" s="17">
        <v>0.75</v>
      </c>
    </row>
    <row r="67" spans="5:10" x14ac:dyDescent="0.25">
      <c r="E67" s="4"/>
      <c r="F67" s="11"/>
      <c r="I67" s="17"/>
    </row>
    <row r="68" spans="5:10" x14ac:dyDescent="0.25">
      <c r="E68" s="4"/>
      <c r="F68" s="11"/>
      <c r="I68" s="17"/>
    </row>
    <row r="69" spans="5:10" x14ac:dyDescent="0.25">
      <c r="E69" s="4"/>
      <c r="F69" s="11"/>
    </row>
    <row r="70" spans="5:10" ht="16.5" thickBot="1" x14ac:dyDescent="0.3">
      <c r="E70" s="4"/>
      <c r="F70" s="11"/>
    </row>
    <row r="71" spans="5:10" ht="16.5" thickBot="1" x14ac:dyDescent="0.3">
      <c r="E71" s="4"/>
      <c r="F71" s="11"/>
      <c r="H71" s="107" t="s">
        <v>20</v>
      </c>
      <c r="I71" s="108"/>
      <c r="J71" s="109"/>
    </row>
    <row r="72" spans="5:10" x14ac:dyDescent="0.25">
      <c r="E72" s="4"/>
      <c r="F72" s="11"/>
      <c r="H72" s="103" t="s">
        <v>21</v>
      </c>
      <c r="I72" s="110" t="s">
        <v>22</v>
      </c>
      <c r="J72" s="111"/>
    </row>
    <row r="73" spans="5:10" x14ac:dyDescent="0.25">
      <c r="E73" s="4"/>
      <c r="F73" s="11"/>
      <c r="H73" s="104"/>
      <c r="I73" s="105" t="s">
        <v>23</v>
      </c>
      <c r="J73" s="106"/>
    </row>
    <row r="74" spans="5:10" x14ac:dyDescent="0.25">
      <c r="E74" s="4"/>
      <c r="F74" s="11"/>
      <c r="H74" s="102" t="s">
        <v>24</v>
      </c>
      <c r="I74" s="105" t="s">
        <v>25</v>
      </c>
      <c r="J74" s="106"/>
    </row>
    <row r="75" spans="5:10" x14ac:dyDescent="0.25">
      <c r="E75" s="4"/>
      <c r="F75" s="11"/>
      <c r="H75" s="103"/>
      <c r="I75" s="105" t="s">
        <v>26</v>
      </c>
      <c r="J75" s="106"/>
    </row>
    <row r="76" spans="5:10" x14ac:dyDescent="0.25">
      <c r="E76" s="4"/>
      <c r="F76" s="11"/>
      <c r="H76" s="103"/>
      <c r="I76" s="105" t="s">
        <v>27</v>
      </c>
      <c r="J76" s="106"/>
    </row>
    <row r="77" spans="5:10" x14ac:dyDescent="0.25">
      <c r="E77" s="4"/>
      <c r="F77" s="11"/>
      <c r="H77" s="104"/>
      <c r="I77" s="101" t="s">
        <v>28</v>
      </c>
      <c r="J77" s="101"/>
    </row>
    <row r="78" spans="5:10" x14ac:dyDescent="0.25">
      <c r="E78" s="4"/>
      <c r="F78" s="11"/>
      <c r="H78" s="102" t="s">
        <v>29</v>
      </c>
      <c r="I78" s="101" t="s">
        <v>31</v>
      </c>
      <c r="J78" s="101"/>
    </row>
    <row r="79" spans="5:10" x14ac:dyDescent="0.25">
      <c r="E79" s="4"/>
      <c r="F79" s="11"/>
      <c r="H79" s="103"/>
      <c r="I79" s="101" t="s">
        <v>30</v>
      </c>
      <c r="J79" s="101"/>
    </row>
    <row r="80" spans="5:10" x14ac:dyDescent="0.25">
      <c r="E80" s="4"/>
      <c r="F80" s="11"/>
      <c r="H80" s="103"/>
      <c r="I80" s="101" t="s">
        <v>32</v>
      </c>
      <c r="J80" s="101"/>
    </row>
    <row r="81" spans="5:10" x14ac:dyDescent="0.25">
      <c r="E81" s="4"/>
      <c r="F81" s="11"/>
      <c r="H81" s="103"/>
      <c r="I81" s="101" t="s">
        <v>33</v>
      </c>
      <c r="J81" s="101"/>
    </row>
    <row r="82" spans="5:10" x14ac:dyDescent="0.25">
      <c r="E82" s="4"/>
      <c r="F82" s="11"/>
      <c r="H82" s="104"/>
      <c r="I82" s="101" t="s">
        <v>34</v>
      </c>
      <c r="J82" s="101"/>
    </row>
    <row r="83" spans="5:10" x14ac:dyDescent="0.25">
      <c r="E83" s="4"/>
      <c r="F83" s="11"/>
      <c r="H83" s="102" t="s">
        <v>38</v>
      </c>
      <c r="I83" s="101" t="s">
        <v>39</v>
      </c>
      <c r="J83" s="101"/>
    </row>
    <row r="84" spans="5:10" x14ac:dyDescent="0.25">
      <c r="E84" s="4"/>
      <c r="F84" s="11"/>
      <c r="H84" s="104"/>
      <c r="I84" s="101" t="s">
        <v>30</v>
      </c>
      <c r="J84" s="101"/>
    </row>
    <row r="85" spans="5:10" x14ac:dyDescent="0.25">
      <c r="E85" s="4"/>
      <c r="F85" s="11"/>
      <c r="H85" s="24" t="s">
        <v>53</v>
      </c>
      <c r="I85" s="101" t="s">
        <v>54</v>
      </c>
      <c r="J85" s="101"/>
    </row>
    <row r="86" spans="5:10" x14ac:dyDescent="0.25">
      <c r="E86" s="4"/>
      <c r="F86" s="11"/>
      <c r="H86" t="s">
        <v>63</v>
      </c>
      <c r="I86" s="112" t="s">
        <v>64</v>
      </c>
      <c r="J86" s="112"/>
    </row>
    <row r="87" spans="5:10" x14ac:dyDescent="0.25">
      <c r="E87" s="4"/>
      <c r="F87" s="11"/>
    </row>
    <row r="88" spans="5:10" x14ac:dyDescent="0.25">
      <c r="E88" s="4"/>
      <c r="F88" s="11"/>
      <c r="H88" s="3"/>
    </row>
    <row r="89" spans="5:10" x14ac:dyDescent="0.25">
      <c r="E89" s="4"/>
      <c r="F89" s="11"/>
    </row>
    <row r="90" spans="5:10" x14ac:dyDescent="0.25">
      <c r="E90" s="4"/>
      <c r="F90" s="11"/>
    </row>
    <row r="91" spans="5:10" x14ac:dyDescent="0.25">
      <c r="E91" s="4"/>
      <c r="F91" s="11"/>
    </row>
    <row r="92" spans="5:10" x14ac:dyDescent="0.25">
      <c r="E92" s="4"/>
      <c r="F92" s="11"/>
    </row>
    <row r="93" spans="5:10" x14ac:dyDescent="0.25">
      <c r="E93" s="4"/>
      <c r="F93" s="11"/>
    </row>
    <row r="94" spans="5:10" x14ac:dyDescent="0.25">
      <c r="E94" s="4"/>
      <c r="F94" s="11"/>
    </row>
    <row r="95" spans="5:10" x14ac:dyDescent="0.25">
      <c r="E95" s="4"/>
      <c r="F95" s="11"/>
    </row>
    <row r="96" spans="5:10" x14ac:dyDescent="0.25">
      <c r="E96" s="4"/>
      <c r="F96" s="11"/>
    </row>
    <row r="97" spans="5:6" x14ac:dyDescent="0.25">
      <c r="E97" s="4"/>
      <c r="F97" s="11"/>
    </row>
    <row r="98" spans="5:6" x14ac:dyDescent="0.25">
      <c r="E98" s="4"/>
      <c r="F98" s="11"/>
    </row>
    <row r="99" spans="5:6" x14ac:dyDescent="0.25">
      <c r="E99" s="4"/>
      <c r="F99" s="11"/>
    </row>
    <row r="100" spans="5:6" x14ac:dyDescent="0.25">
      <c r="E100" s="4"/>
      <c r="F100" s="11"/>
    </row>
    <row r="101" spans="5:6" x14ac:dyDescent="0.25">
      <c r="E101" s="4"/>
      <c r="F101" s="11"/>
    </row>
    <row r="102" spans="5:6" x14ac:dyDescent="0.25">
      <c r="E102" s="4"/>
      <c r="F102" s="11"/>
    </row>
    <row r="103" spans="5:6" x14ac:dyDescent="0.25">
      <c r="E103" s="4"/>
      <c r="F103" s="11"/>
    </row>
    <row r="104" spans="5:6" x14ac:dyDescent="0.25">
      <c r="E104" s="4"/>
      <c r="F104" s="11"/>
    </row>
    <row r="105" spans="5:6" x14ac:dyDescent="0.25">
      <c r="E105" s="4"/>
      <c r="F105" s="11"/>
    </row>
    <row r="106" spans="5:6" x14ac:dyDescent="0.25">
      <c r="E106" s="4"/>
      <c r="F106" s="11"/>
    </row>
    <row r="107" spans="5:6" x14ac:dyDescent="0.25">
      <c r="E107" s="4"/>
      <c r="F107" s="11"/>
    </row>
    <row r="108" spans="5:6" x14ac:dyDescent="0.25">
      <c r="E108" s="4"/>
      <c r="F108" s="11"/>
    </row>
    <row r="109" spans="5:6" x14ac:dyDescent="0.25">
      <c r="E109" s="4"/>
      <c r="F109" s="11"/>
    </row>
    <row r="110" spans="5:6" x14ac:dyDescent="0.25">
      <c r="E110" s="4"/>
      <c r="F110" s="11"/>
    </row>
    <row r="111" spans="5:6" x14ac:dyDescent="0.25">
      <c r="E111" s="4"/>
      <c r="F111" s="11"/>
    </row>
    <row r="112" spans="5:6" x14ac:dyDescent="0.25">
      <c r="E112" s="4"/>
      <c r="F112" s="11"/>
    </row>
    <row r="113" spans="5:6" x14ac:dyDescent="0.25">
      <c r="E113" s="4"/>
      <c r="F113" s="11"/>
    </row>
    <row r="114" spans="5:6" x14ac:dyDescent="0.25">
      <c r="E114" s="4"/>
      <c r="F114" s="11"/>
    </row>
    <row r="115" spans="5:6" x14ac:dyDescent="0.25">
      <c r="E115" s="4"/>
      <c r="F115" s="11"/>
    </row>
    <row r="116" spans="5:6" x14ac:dyDescent="0.25">
      <c r="E116" s="4"/>
      <c r="F116" s="11"/>
    </row>
    <row r="117" spans="5:6" x14ac:dyDescent="0.25">
      <c r="E117" s="4"/>
      <c r="F117" s="11"/>
    </row>
    <row r="118" spans="5:6" x14ac:dyDescent="0.25">
      <c r="E118" s="4"/>
      <c r="F118" s="11"/>
    </row>
    <row r="119" spans="5:6" x14ac:dyDescent="0.25">
      <c r="E119" s="4"/>
      <c r="F119" s="11"/>
    </row>
    <row r="120" spans="5:6" x14ac:dyDescent="0.25">
      <c r="E120" s="4"/>
      <c r="F120" s="11"/>
    </row>
    <row r="121" spans="5:6" x14ac:dyDescent="0.25">
      <c r="E121" s="4"/>
      <c r="F121" s="11"/>
    </row>
    <row r="122" spans="5:6" x14ac:dyDescent="0.25">
      <c r="E122" s="4"/>
      <c r="F122" s="11"/>
    </row>
    <row r="123" spans="5:6" x14ac:dyDescent="0.25">
      <c r="E123" s="4"/>
      <c r="F123" s="11"/>
    </row>
    <row r="124" spans="5:6" x14ac:dyDescent="0.25">
      <c r="E124" s="4"/>
      <c r="F124" s="11"/>
    </row>
    <row r="125" spans="5:6" x14ac:dyDescent="0.25">
      <c r="E125" s="4"/>
      <c r="F125" s="11"/>
    </row>
    <row r="126" spans="5:6" x14ac:dyDescent="0.25">
      <c r="E126" s="4"/>
      <c r="F126" s="11"/>
    </row>
    <row r="127" spans="5:6" x14ac:dyDescent="0.25">
      <c r="E127" s="4"/>
      <c r="F127" s="11"/>
    </row>
    <row r="128" spans="5:6" x14ac:dyDescent="0.25">
      <c r="E128" s="4"/>
      <c r="F128" s="11"/>
    </row>
    <row r="129" spans="5:6" x14ac:dyDescent="0.25">
      <c r="E129" s="4"/>
      <c r="F129" s="11"/>
    </row>
    <row r="130" spans="5:6" x14ac:dyDescent="0.25">
      <c r="E130" s="4"/>
      <c r="F130" s="11"/>
    </row>
    <row r="131" spans="5:6" x14ac:dyDescent="0.25">
      <c r="E131" s="4"/>
      <c r="F131" s="11"/>
    </row>
    <row r="132" spans="5:6" x14ac:dyDescent="0.25">
      <c r="E132" s="4"/>
      <c r="F132" s="11"/>
    </row>
    <row r="133" spans="5:6" x14ac:dyDescent="0.25">
      <c r="E133" s="4"/>
      <c r="F133" s="11"/>
    </row>
    <row r="134" spans="5:6" x14ac:dyDescent="0.25">
      <c r="E134" s="4"/>
      <c r="F134" s="11"/>
    </row>
    <row r="135" spans="5:6" x14ac:dyDescent="0.25">
      <c r="E135" s="4"/>
      <c r="F135" s="11"/>
    </row>
    <row r="136" spans="5:6" x14ac:dyDescent="0.25">
      <c r="E136" s="4"/>
      <c r="F136" s="11"/>
    </row>
    <row r="137" spans="5:6" x14ac:dyDescent="0.25">
      <c r="E137" s="4"/>
      <c r="F137" s="11"/>
    </row>
    <row r="138" spans="5:6" x14ac:dyDescent="0.25">
      <c r="E138" s="4"/>
      <c r="F138" s="11"/>
    </row>
    <row r="139" spans="5:6" x14ac:dyDescent="0.25">
      <c r="E139" s="4"/>
      <c r="F139" s="11"/>
    </row>
    <row r="140" spans="5:6" x14ac:dyDescent="0.25">
      <c r="E140" s="4"/>
      <c r="F140" s="11"/>
    </row>
    <row r="141" spans="5:6" x14ac:dyDescent="0.25">
      <c r="E141" s="4"/>
      <c r="F141" s="11"/>
    </row>
    <row r="142" spans="5:6" x14ac:dyDescent="0.25">
      <c r="E142" s="4"/>
      <c r="F142" s="11"/>
    </row>
    <row r="143" spans="5:6" x14ac:dyDescent="0.25">
      <c r="E143" s="4"/>
      <c r="F143" s="11"/>
    </row>
    <row r="144" spans="5:6" x14ac:dyDescent="0.25">
      <c r="E144" s="4"/>
      <c r="F144" s="11"/>
    </row>
    <row r="145" spans="5:6" x14ac:dyDescent="0.25">
      <c r="E145" s="4"/>
      <c r="F145" s="11"/>
    </row>
    <row r="146" spans="5:6" x14ac:dyDescent="0.25">
      <c r="E146" s="4"/>
      <c r="F146" s="11"/>
    </row>
    <row r="147" spans="5:6" x14ac:dyDescent="0.25">
      <c r="E147" s="4"/>
      <c r="F147" s="11"/>
    </row>
    <row r="148" spans="5:6" x14ac:dyDescent="0.25">
      <c r="E148" s="4"/>
      <c r="F148" s="11"/>
    </row>
    <row r="149" spans="5:6" x14ac:dyDescent="0.25">
      <c r="E149" s="4"/>
      <c r="F149" s="11"/>
    </row>
    <row r="150" spans="5:6" x14ac:dyDescent="0.25">
      <c r="E150" s="4"/>
      <c r="F150" s="11"/>
    </row>
    <row r="151" spans="5:6" x14ac:dyDescent="0.25">
      <c r="E151" s="4"/>
      <c r="F151" s="11"/>
    </row>
    <row r="152" spans="5:6" x14ac:dyDescent="0.25">
      <c r="E152" s="4"/>
      <c r="F152" s="11"/>
    </row>
    <row r="153" spans="5:6" x14ac:dyDescent="0.25">
      <c r="E153" s="4"/>
      <c r="F153" s="11"/>
    </row>
    <row r="154" spans="5:6" x14ac:dyDescent="0.25">
      <c r="E154" s="4"/>
      <c r="F154" s="11"/>
    </row>
    <row r="155" spans="5:6" x14ac:dyDescent="0.25">
      <c r="E155" s="4"/>
      <c r="F155" s="11"/>
    </row>
    <row r="156" spans="5:6" x14ac:dyDescent="0.25">
      <c r="E156" s="4"/>
      <c r="F156" s="11"/>
    </row>
    <row r="157" spans="5:6" x14ac:dyDescent="0.25">
      <c r="E157" s="4"/>
      <c r="F157" s="11"/>
    </row>
    <row r="158" spans="5:6" x14ac:dyDescent="0.25">
      <c r="E158" s="4"/>
      <c r="F158" s="11"/>
    </row>
    <row r="159" spans="5:6" x14ac:dyDescent="0.25">
      <c r="E159" s="4"/>
      <c r="F159" s="11"/>
    </row>
    <row r="160" spans="5:6" x14ac:dyDescent="0.25">
      <c r="E160" s="4"/>
      <c r="F160" s="11"/>
    </row>
    <row r="161" spans="5:6" x14ac:dyDescent="0.25">
      <c r="E161" s="4"/>
      <c r="F161" s="11"/>
    </row>
    <row r="162" spans="5:6" x14ac:dyDescent="0.25">
      <c r="E162" s="4"/>
      <c r="F162" s="11"/>
    </row>
    <row r="163" spans="5:6" x14ac:dyDescent="0.25">
      <c r="E163" s="4"/>
      <c r="F163" s="11"/>
    </row>
    <row r="164" spans="5:6" x14ac:dyDescent="0.25">
      <c r="E164" s="4"/>
      <c r="F164" s="11"/>
    </row>
    <row r="165" spans="5:6" x14ac:dyDescent="0.25">
      <c r="E165" s="4"/>
      <c r="F165" s="11"/>
    </row>
    <row r="166" spans="5:6" x14ac:dyDescent="0.25">
      <c r="E166" s="4"/>
      <c r="F166" s="11"/>
    </row>
    <row r="167" spans="5:6" x14ac:dyDescent="0.25">
      <c r="E167" s="4"/>
      <c r="F167" s="11"/>
    </row>
    <row r="168" spans="5:6" x14ac:dyDescent="0.25">
      <c r="E168" s="4"/>
      <c r="F168" s="11"/>
    </row>
    <row r="169" spans="5:6" x14ac:dyDescent="0.25">
      <c r="E169" s="4"/>
      <c r="F169" s="11"/>
    </row>
    <row r="170" spans="5:6" x14ac:dyDescent="0.25">
      <c r="E170" s="4"/>
      <c r="F170" s="11"/>
    </row>
    <row r="171" spans="5:6" x14ac:dyDescent="0.25">
      <c r="E171" s="4"/>
      <c r="F171" s="11"/>
    </row>
    <row r="172" spans="5:6" x14ac:dyDescent="0.25">
      <c r="E172" s="4"/>
      <c r="F172" s="11"/>
    </row>
    <row r="173" spans="5:6" x14ac:dyDescent="0.25">
      <c r="E173" s="4"/>
      <c r="F173" s="11"/>
    </row>
    <row r="174" spans="5:6" x14ac:dyDescent="0.25">
      <c r="E174" s="4"/>
      <c r="F174" s="11"/>
    </row>
    <row r="175" spans="5:6" x14ac:dyDescent="0.25">
      <c r="E175" s="4"/>
      <c r="F175" s="11"/>
    </row>
    <row r="176" spans="5:6" x14ac:dyDescent="0.25">
      <c r="E176" s="4"/>
      <c r="F176" s="11"/>
    </row>
    <row r="177" spans="5:6" x14ac:dyDescent="0.25">
      <c r="E177" s="4"/>
      <c r="F177" s="11"/>
    </row>
    <row r="178" spans="5:6" x14ac:dyDescent="0.25">
      <c r="E178" s="4"/>
      <c r="F178" s="11"/>
    </row>
    <row r="179" spans="5:6" x14ac:dyDescent="0.25">
      <c r="E179" s="4"/>
      <c r="F179" s="11"/>
    </row>
    <row r="180" spans="5:6" x14ac:dyDescent="0.25">
      <c r="E180" s="4"/>
      <c r="F180" s="11"/>
    </row>
    <row r="181" spans="5:6" x14ac:dyDescent="0.25">
      <c r="E181" s="4"/>
      <c r="F181" s="11"/>
    </row>
    <row r="182" spans="5:6" x14ac:dyDescent="0.25">
      <c r="E182" s="4"/>
      <c r="F182" s="11"/>
    </row>
    <row r="183" spans="5:6" x14ac:dyDescent="0.25">
      <c r="E183" s="4"/>
      <c r="F183" s="11"/>
    </row>
    <row r="184" spans="5:6" x14ac:dyDescent="0.25">
      <c r="F184" s="11"/>
    </row>
    <row r="185" spans="5:6" x14ac:dyDescent="0.25">
      <c r="F185" s="11"/>
    </row>
  </sheetData>
  <mergeCells count="20">
    <mergeCell ref="I86:J86"/>
    <mergeCell ref="I85:J85"/>
    <mergeCell ref="I83:J83"/>
    <mergeCell ref="I84:J84"/>
    <mergeCell ref="H83:H84"/>
    <mergeCell ref="H72:H73"/>
    <mergeCell ref="I77:J77"/>
    <mergeCell ref="H71:J71"/>
    <mergeCell ref="I72:J72"/>
    <mergeCell ref="I73:J73"/>
    <mergeCell ref="I74:J74"/>
    <mergeCell ref="I80:J80"/>
    <mergeCell ref="H74:H77"/>
    <mergeCell ref="H78:H82"/>
    <mergeCell ref="I75:J75"/>
    <mergeCell ref="I76:J76"/>
    <mergeCell ref="I78:J78"/>
    <mergeCell ref="I79:J79"/>
    <mergeCell ref="I81:J81"/>
    <mergeCell ref="I82:J82"/>
  </mergeCells>
  <conditionalFormatting sqref="F65:F69">
    <cfRule type="cellIs" dxfId="45" priority="11" operator="between">
      <formula>0.305555555555556</formula>
      <formula>0.3125</formula>
    </cfRule>
  </conditionalFormatting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N99"/>
  <sheetViews>
    <sheetView zoomScale="60" zoomScaleNormal="60" workbookViewId="0">
      <selection activeCell="C3" sqref="C3"/>
    </sheetView>
  </sheetViews>
  <sheetFormatPr baseColWidth="10" defaultColWidth="11" defaultRowHeight="15.75" x14ac:dyDescent="0.25"/>
  <cols>
    <col min="1" max="1" width="13" customWidth="1"/>
    <col min="2" max="2" width="23.125" customWidth="1"/>
    <col min="3" max="3" width="14.875" customWidth="1"/>
    <col min="4" max="4" width="15.625" customWidth="1"/>
    <col min="5" max="5" width="19.375" customWidth="1"/>
    <col min="6" max="6" width="17.125" customWidth="1"/>
    <col min="7" max="7" width="16.625" customWidth="1"/>
    <col min="8" max="8" width="19.25" customWidth="1"/>
    <col min="9" max="9" width="13.875" bestFit="1" customWidth="1"/>
    <col min="12" max="12" width="19.5" customWidth="1"/>
    <col min="14" max="14" width="17.25" customWidth="1"/>
    <col min="15" max="15" width="15.125" bestFit="1" customWidth="1"/>
  </cols>
  <sheetData>
    <row r="1" spans="1:12" x14ac:dyDescent="0.25">
      <c r="C1" s="11">
        <v>0.35416666666666669</v>
      </c>
      <c r="D1" s="11">
        <v>0.54166666666666663</v>
      </c>
      <c r="E1" s="11">
        <v>0.58333333333333337</v>
      </c>
      <c r="F1" s="11">
        <v>0.79166666666666663</v>
      </c>
      <c r="H1" s="33">
        <v>9.5</v>
      </c>
    </row>
    <row r="2" spans="1:12" x14ac:dyDescent="0.25">
      <c r="C2" s="32">
        <v>0.34722222222222227</v>
      </c>
      <c r="D2" s="32">
        <v>0.35416666666666669</v>
      </c>
      <c r="E2" s="32">
        <v>0.36458333333333331</v>
      </c>
      <c r="F2" s="32">
        <v>0.35486111111111113</v>
      </c>
      <c r="G2" s="32">
        <v>0.36041666666666666</v>
      </c>
      <c r="H2" s="34"/>
      <c r="I2">
        <v>0</v>
      </c>
    </row>
    <row r="3" spans="1:12" x14ac:dyDescent="0.25">
      <c r="A3" s="25" t="s">
        <v>10</v>
      </c>
      <c r="B3" s="25" t="s">
        <v>11</v>
      </c>
      <c r="C3" s="25" t="s">
        <v>17</v>
      </c>
      <c r="D3" s="26" t="s">
        <v>42</v>
      </c>
      <c r="E3" s="27" t="s">
        <v>57</v>
      </c>
      <c r="F3" s="27" t="s">
        <v>56</v>
      </c>
      <c r="G3" s="27" t="s">
        <v>43</v>
      </c>
      <c r="H3" s="25" t="s">
        <v>55</v>
      </c>
      <c r="I3" s="25" t="s">
        <v>86</v>
      </c>
    </row>
    <row r="4" spans="1:12" x14ac:dyDescent="0.25">
      <c r="A4" s="23"/>
      <c r="B4" s="30"/>
      <c r="C4" s="31"/>
      <c r="D4" s="27"/>
      <c r="E4" s="17">
        <v>0.54166666666666663</v>
      </c>
      <c r="F4" s="17">
        <v>0.58333333333333337</v>
      </c>
      <c r="G4" s="27"/>
      <c r="H4" s="25">
        <f>((Tabla2[[#This Row],[Salida]] -Tabla2[[#This Row],[Entrada]])-(Tabla2[[#This Row],[Fin almuerzo]]-Tabla2[[#This Row],[Inicio almuerzo]]))*24</f>
        <v>-1.0000000000000018</v>
      </c>
      <c r="I4" s="25">
        <f>($H$1-Tabla2[[#This Row],[Horas trabajadas]])</f>
        <v>10.500000000000002</v>
      </c>
    </row>
    <row r="5" spans="1:12" x14ac:dyDescent="0.25">
      <c r="A5" s="23" t="s">
        <v>5</v>
      </c>
      <c r="B5" s="30" t="s">
        <v>0</v>
      </c>
      <c r="C5" s="31">
        <v>44557</v>
      </c>
      <c r="D5" s="27">
        <v>0.35555555555555557</v>
      </c>
      <c r="E5" s="17">
        <v>0.54166666666666663</v>
      </c>
      <c r="F5" s="17">
        <v>0.58333333333333337</v>
      </c>
      <c r="G5" s="27"/>
      <c r="H5" s="25">
        <f>((Tabla2[[#This Row],[Salida]] -Tabla2[[#This Row],[Entrada]])-(Tabla2[[#This Row],[Fin almuerzo]]-Tabla2[[#This Row],[Inicio almuerzo]]))*24</f>
        <v>-9.533333333333335</v>
      </c>
      <c r="I5" s="25">
        <f>($H$1-Tabla2[[#This Row],[Horas trabajadas]])</f>
        <v>19.033333333333335</v>
      </c>
    </row>
    <row r="6" spans="1:12" x14ac:dyDescent="0.25">
      <c r="A6" s="23" t="s">
        <v>8</v>
      </c>
      <c r="B6" s="30" t="s">
        <v>2</v>
      </c>
      <c r="C6" s="31">
        <v>44557</v>
      </c>
      <c r="D6" s="27"/>
      <c r="E6" s="17">
        <v>0.54166666666666663</v>
      </c>
      <c r="F6" s="17">
        <v>0.58333333333333337</v>
      </c>
      <c r="G6" s="27"/>
      <c r="H6" s="25">
        <f>((Tabla2[[#This Row],[Salida]] -Tabla2[[#This Row],[Entrada]])-(Tabla2[[#This Row],[Fin almuerzo]]-Tabla2[[#This Row],[Inicio almuerzo]]))*24</f>
        <v>-1.0000000000000018</v>
      </c>
      <c r="I6" s="25">
        <f>($H$1-Tabla2[[#This Row],[Horas trabajadas]])</f>
        <v>10.500000000000002</v>
      </c>
    </row>
    <row r="7" spans="1:12" x14ac:dyDescent="0.25">
      <c r="A7" s="23" t="s">
        <v>9</v>
      </c>
      <c r="B7" s="30" t="s">
        <v>2</v>
      </c>
      <c r="C7" s="31">
        <v>44557</v>
      </c>
      <c r="D7" s="27"/>
      <c r="E7" s="17">
        <v>0.54166666666666663</v>
      </c>
      <c r="F7" s="17">
        <v>0.58333333333333337</v>
      </c>
      <c r="G7" s="27"/>
      <c r="H7" s="25">
        <f>((Tabla2[[#This Row],[Salida]] -Tabla2[[#This Row],[Entrada]])-(Tabla2[[#This Row],[Fin almuerzo]]-Tabla2[[#This Row],[Inicio almuerzo]]))*24</f>
        <v>-1.0000000000000018</v>
      </c>
      <c r="I7" s="25">
        <f>($H$1-Tabla2[[#This Row],[Horas trabajadas]])</f>
        <v>10.500000000000002</v>
      </c>
    </row>
    <row r="8" spans="1:12" x14ac:dyDescent="0.25">
      <c r="A8" s="23" t="s">
        <v>4</v>
      </c>
      <c r="B8" s="30" t="s">
        <v>1</v>
      </c>
      <c r="C8" s="31">
        <v>44557</v>
      </c>
      <c r="D8" s="27">
        <v>0.34930555555555554</v>
      </c>
      <c r="E8" s="17">
        <v>0.54166666666666663</v>
      </c>
      <c r="F8" s="17">
        <v>0.58333333333333337</v>
      </c>
      <c r="G8" s="27"/>
      <c r="H8" s="25">
        <f>((Tabla2[[#This Row],[Salida]] -Tabla2[[#This Row],[Entrada]])-(Tabla2[[#This Row],[Fin almuerzo]]-Tabla2[[#This Row],[Inicio almuerzo]]))*24</f>
        <v>-9.3833333333333346</v>
      </c>
      <c r="I8" s="25">
        <f>($H$1-Tabla2[[#This Row],[Horas trabajadas]])</f>
        <v>18.883333333333333</v>
      </c>
    </row>
    <row r="9" spans="1:12" x14ac:dyDescent="0.25">
      <c r="A9" s="23" t="s">
        <v>5</v>
      </c>
      <c r="B9" s="30" t="s">
        <v>0</v>
      </c>
      <c r="C9" s="31">
        <v>44554</v>
      </c>
      <c r="D9" s="27">
        <v>0.33819444444444446</v>
      </c>
      <c r="E9" s="17">
        <v>0.54166666666666663</v>
      </c>
      <c r="F9" s="17">
        <v>0.58333333333333337</v>
      </c>
      <c r="G9" s="27">
        <v>0.79375000000000007</v>
      </c>
      <c r="H9" s="25">
        <f>((Tabla2[[#This Row],[Salida]] -Tabla2[[#This Row],[Entrada]])-(Tabla2[[#This Row],[Fin almuerzo]]-Tabla2[[#This Row],[Inicio almuerzo]]))*24</f>
        <v>9.9333333333333336</v>
      </c>
      <c r="I9" s="25">
        <f>($H$1-Tabla2[[#This Row],[Horas trabajadas]])</f>
        <v>-0.43333333333333357</v>
      </c>
    </row>
    <row r="10" spans="1:12" x14ac:dyDescent="0.25">
      <c r="A10" s="23" t="s">
        <v>8</v>
      </c>
      <c r="B10" s="30" t="s">
        <v>2</v>
      </c>
      <c r="C10" s="31">
        <v>44554</v>
      </c>
      <c r="D10" s="27">
        <v>0.3611111111111111</v>
      </c>
      <c r="E10" s="17">
        <v>0.54166666666666663</v>
      </c>
      <c r="F10" s="17">
        <v>0.58333333333333337</v>
      </c>
      <c r="G10" s="27">
        <v>0.79999999999999993</v>
      </c>
      <c r="H10" s="25">
        <f>((Tabla2[[#This Row],[Salida]] -Tabla2[[#This Row],[Entrada]])-(Tabla2[[#This Row],[Fin almuerzo]]-Tabla2[[#This Row],[Inicio almuerzo]]))*24</f>
        <v>9.5333333333333297</v>
      </c>
      <c r="I10" s="25">
        <f>($H$1-Tabla2[[#This Row],[Horas trabajadas]])</f>
        <v>-3.3333333333329662E-2</v>
      </c>
    </row>
    <row r="11" spans="1:12" x14ac:dyDescent="0.25">
      <c r="A11" s="23" t="s">
        <v>9</v>
      </c>
      <c r="B11" s="30" t="s">
        <v>2</v>
      </c>
      <c r="C11" s="31">
        <v>44554</v>
      </c>
      <c r="D11" s="27">
        <v>0.36527777777777781</v>
      </c>
      <c r="E11" s="17">
        <v>0.54166666666666663</v>
      </c>
      <c r="F11" s="17">
        <v>0.58333333333333337</v>
      </c>
      <c r="G11" s="27">
        <v>0.79861111111111116</v>
      </c>
      <c r="H11" s="25">
        <f>((Tabla2[[#This Row],[Salida]] -Tabla2[[#This Row],[Entrada]])-(Tabla2[[#This Row],[Fin almuerzo]]-Tabla2[[#This Row],[Inicio almuerzo]]))*24</f>
        <v>9.3999999999999986</v>
      </c>
      <c r="I11" s="25">
        <f>($H$1-Tabla2[[#This Row],[Horas trabajadas]])</f>
        <v>0.10000000000000142</v>
      </c>
    </row>
    <row r="12" spans="1:12" x14ac:dyDescent="0.25">
      <c r="A12" s="23" t="s">
        <v>4</v>
      </c>
      <c r="B12" s="30" t="s">
        <v>1</v>
      </c>
      <c r="C12" s="31">
        <v>44554</v>
      </c>
      <c r="D12" s="27">
        <v>0.35069444444444442</v>
      </c>
      <c r="E12" s="17">
        <v>0.54166666666666663</v>
      </c>
      <c r="F12" s="17">
        <v>0.58333333333333337</v>
      </c>
      <c r="G12" s="27">
        <v>0.83333333333333337</v>
      </c>
      <c r="H12" s="25">
        <f>((Tabla2[[#This Row],[Salida]] -Tabla2[[#This Row],[Entrada]])-(Tabla2[[#This Row],[Fin almuerzo]]-Tabla2[[#This Row],[Inicio almuerzo]]))*24</f>
        <v>10.583333333333332</v>
      </c>
      <c r="I12" s="25">
        <f>($H$1-Tabla2[[#This Row],[Horas trabajadas]])</f>
        <v>-1.0833333333333321</v>
      </c>
    </row>
    <row r="13" spans="1:12" x14ac:dyDescent="0.25">
      <c r="A13" s="23" t="s">
        <v>5</v>
      </c>
      <c r="B13" s="30" t="s">
        <v>0</v>
      </c>
      <c r="C13" s="31">
        <v>44553</v>
      </c>
      <c r="D13" s="27">
        <v>0.3430555555555555</v>
      </c>
      <c r="E13" s="17">
        <v>0.54166666666666663</v>
      </c>
      <c r="F13" s="17">
        <v>0.58333333333333337</v>
      </c>
      <c r="G13" s="27">
        <v>0.82777777777777783</v>
      </c>
      <c r="H13" s="25">
        <f>((Tabla2[[#This Row],[Salida]] -Tabla2[[#This Row],[Entrada]])-(Tabla2[[#This Row],[Fin almuerzo]]-Tabla2[[#This Row],[Inicio almuerzo]]))*24</f>
        <v>10.633333333333335</v>
      </c>
      <c r="I13" s="25">
        <f>($H$1-Tabla2[[#This Row],[Horas trabajadas]])</f>
        <v>-1.1333333333333346</v>
      </c>
    </row>
    <row r="14" spans="1:12" x14ac:dyDescent="0.25">
      <c r="A14" s="23" t="s">
        <v>8</v>
      </c>
      <c r="B14" s="30" t="s">
        <v>2</v>
      </c>
      <c r="C14" s="31">
        <v>44553</v>
      </c>
      <c r="D14" s="27">
        <v>0.37222222222222223</v>
      </c>
      <c r="E14" s="17">
        <v>0.54166666666666663</v>
      </c>
      <c r="F14" s="17">
        <v>0.58333333333333337</v>
      </c>
      <c r="G14" s="27">
        <v>0.81805555555555554</v>
      </c>
      <c r="H14" s="25">
        <f>((Tabla2[[#This Row],[Salida]] -Tabla2[[#This Row],[Entrada]])-(Tabla2[[#This Row],[Fin almuerzo]]-Tabla2[[#This Row],[Inicio almuerzo]]))*24</f>
        <v>9.6999999999999975</v>
      </c>
      <c r="I14" s="25">
        <f>($H$1-Tabla2[[#This Row],[Horas trabajadas]])</f>
        <v>-0.19999999999999751</v>
      </c>
    </row>
    <row r="15" spans="1:12" x14ac:dyDescent="0.25">
      <c r="A15" s="23" t="s">
        <v>9</v>
      </c>
      <c r="B15" s="30" t="s">
        <v>2</v>
      </c>
      <c r="C15" s="31">
        <v>44553</v>
      </c>
      <c r="D15" s="27">
        <v>0.36458333333333331</v>
      </c>
      <c r="E15" s="17">
        <v>0.54166666666666663</v>
      </c>
      <c r="F15" s="17">
        <v>0.58333333333333337</v>
      </c>
      <c r="G15" s="27">
        <v>0.81736111111111109</v>
      </c>
      <c r="H15" s="25">
        <f>((Tabla2[[#This Row],[Salida]] -Tabla2[[#This Row],[Entrada]])-(Tabla2[[#This Row],[Fin almuerzo]]-Tabla2[[#This Row],[Inicio almuerzo]]))*24</f>
        <v>9.8666666666666654</v>
      </c>
      <c r="I15" s="25">
        <f>($H$1-Tabla2[[#This Row],[Horas trabajadas]])</f>
        <v>-0.36666666666666536</v>
      </c>
    </row>
    <row r="16" spans="1:12" x14ac:dyDescent="0.25">
      <c r="A16" s="23" t="s">
        <v>4</v>
      </c>
      <c r="B16" s="30" t="s">
        <v>1</v>
      </c>
      <c r="C16" s="31">
        <v>44553</v>
      </c>
      <c r="D16" s="27">
        <v>0.34652777777777777</v>
      </c>
      <c r="E16" s="17">
        <v>0.54166666666666663</v>
      </c>
      <c r="F16" s="17">
        <v>0.58333333333333337</v>
      </c>
      <c r="G16" s="27">
        <v>0.83819444444444446</v>
      </c>
      <c r="H16" s="25">
        <f>((Tabla2[[#This Row],[Salida]] -Tabla2[[#This Row],[Entrada]])-(Tabla2[[#This Row],[Fin almuerzo]]-Tabla2[[#This Row],[Inicio almuerzo]]))*24</f>
        <v>10.799999999999999</v>
      </c>
      <c r="I16" s="25">
        <f>($H$1-Tabla2[[#This Row],[Horas trabajadas]])</f>
        <v>-1.2999999999999989</v>
      </c>
      <c r="L16" s="17">
        <f>G19-D19</f>
        <v>0.43124999999999997</v>
      </c>
    </row>
    <row r="17" spans="1:14" x14ac:dyDescent="0.25">
      <c r="A17" s="23" t="s">
        <v>5</v>
      </c>
      <c r="B17" s="30" t="s">
        <v>0</v>
      </c>
      <c r="C17" s="31">
        <v>44552</v>
      </c>
      <c r="D17" s="27">
        <v>0.35486111111111113</v>
      </c>
      <c r="E17" s="17">
        <v>0.54166666666666663</v>
      </c>
      <c r="F17" s="17">
        <v>0.58333333333333337</v>
      </c>
      <c r="G17" s="27">
        <v>0.78194444444444444</v>
      </c>
      <c r="H17" s="25">
        <f>((Tabla2[[#This Row],[Salida]] -Tabla2[[#This Row],[Entrada]])-(Tabla2[[#This Row],[Fin almuerzo]]-Tabla2[[#This Row],[Inicio almuerzo]]))*24</f>
        <v>9.2499999999999982</v>
      </c>
      <c r="I17" s="25">
        <f>($H$1-Tabla2[[#This Row],[Horas trabajadas]])</f>
        <v>0.25000000000000178</v>
      </c>
      <c r="L17" s="17">
        <f>(G9-D9)-(F9-E9)</f>
        <v>0.41388888888888886</v>
      </c>
    </row>
    <row r="18" spans="1:14" x14ac:dyDescent="0.25">
      <c r="A18" s="23" t="s">
        <v>8</v>
      </c>
      <c r="B18" s="30" t="s">
        <v>2</v>
      </c>
      <c r="C18" s="31">
        <v>44552</v>
      </c>
      <c r="D18" s="27">
        <v>0.375</v>
      </c>
      <c r="E18" s="17">
        <v>0.54166666666666663</v>
      </c>
      <c r="F18" s="17">
        <v>0.58333333333333337</v>
      </c>
      <c r="G18" s="27">
        <v>0.78680555555555554</v>
      </c>
      <c r="H18" s="25">
        <f>((Tabla2[[#This Row],[Salida]] -Tabla2[[#This Row],[Entrada]])-(Tabla2[[#This Row],[Fin almuerzo]]-Tabla2[[#This Row],[Inicio almuerzo]]))*24</f>
        <v>8.8833333333333311</v>
      </c>
      <c r="I18" s="25">
        <f>($H$1-Tabla2[[#This Row],[Horas trabajadas]])</f>
        <v>0.61666666666666892</v>
      </c>
    </row>
    <row r="19" spans="1:14" x14ac:dyDescent="0.25">
      <c r="A19" s="23" t="s">
        <v>9</v>
      </c>
      <c r="B19" s="30" t="s">
        <v>2</v>
      </c>
      <c r="C19" s="31">
        <v>44552</v>
      </c>
      <c r="D19" s="27">
        <v>0.35625000000000001</v>
      </c>
      <c r="E19" s="17">
        <v>0.54166666666666663</v>
      </c>
      <c r="F19" s="17">
        <v>0.58333333333333337</v>
      </c>
      <c r="G19" s="27">
        <v>0.78749999999999998</v>
      </c>
      <c r="H19" s="25">
        <f>((Tabla2[[#This Row],[Salida]] -Tabla2[[#This Row],[Entrada]])-(Tabla2[[#This Row],[Fin almuerzo]]-Tabla2[[#This Row],[Inicio almuerzo]]))*24</f>
        <v>9.3499999999999979</v>
      </c>
      <c r="I19" s="25">
        <f>($H$1-Tabla2[[#This Row],[Horas trabajadas]])</f>
        <v>0.15000000000000213</v>
      </c>
    </row>
    <row r="20" spans="1:14" x14ac:dyDescent="0.25">
      <c r="A20" s="23" t="s">
        <v>4</v>
      </c>
      <c r="B20" s="30" t="s">
        <v>1</v>
      </c>
      <c r="C20" s="31">
        <v>44552</v>
      </c>
      <c r="D20" s="27">
        <v>0.35138888888888892</v>
      </c>
      <c r="E20" s="17">
        <v>0.54166666666666663</v>
      </c>
      <c r="F20" s="17">
        <v>0.58333333333333337</v>
      </c>
      <c r="G20" s="27">
        <v>0.8881944444444444</v>
      </c>
      <c r="H20" s="25">
        <f>((Tabla2[[#This Row],[Salida]] -Tabla2[[#This Row],[Entrada]])-(Tabla2[[#This Row],[Fin almuerzo]]-Tabla2[[#This Row],[Inicio almuerzo]]))*24</f>
        <v>11.883333333333331</v>
      </c>
      <c r="I20" s="25">
        <f>($H$1-Tabla2[[#This Row],[Horas trabajadas]])</f>
        <v>-2.3833333333333311</v>
      </c>
    </row>
    <row r="21" spans="1:14" x14ac:dyDescent="0.25">
      <c r="A21" s="23" t="s">
        <v>5</v>
      </c>
      <c r="B21" s="30" t="s">
        <v>0</v>
      </c>
      <c r="C21" s="31">
        <v>44551</v>
      </c>
      <c r="D21" s="27">
        <v>0.3576388888888889</v>
      </c>
      <c r="E21" s="17">
        <v>0.54166666666666663</v>
      </c>
      <c r="F21" s="17">
        <v>0.58333333333333337</v>
      </c>
      <c r="G21" s="27">
        <v>0.81041666666666667</v>
      </c>
      <c r="H21" s="25">
        <f>((Tabla2[[#This Row],[Salida]] -Tabla2[[#This Row],[Entrada]])-(Tabla2[[#This Row],[Fin almuerzo]]-Tabla2[[#This Row],[Inicio almuerzo]]))*24</f>
        <v>9.8666666666666654</v>
      </c>
      <c r="I21" s="25">
        <f>($H$1-Tabla2[[#This Row],[Horas trabajadas]])</f>
        <v>-0.36666666666666536</v>
      </c>
    </row>
    <row r="22" spans="1:14" x14ac:dyDescent="0.25">
      <c r="A22" s="23" t="s">
        <v>8</v>
      </c>
      <c r="B22" s="30" t="s">
        <v>2</v>
      </c>
      <c r="C22" s="31">
        <v>44551</v>
      </c>
      <c r="D22" s="27">
        <v>0.37222222222222223</v>
      </c>
      <c r="E22" s="17">
        <v>0.54166666666666663</v>
      </c>
      <c r="F22" s="17">
        <v>0.58333333333333337</v>
      </c>
      <c r="G22" s="27">
        <v>0.81180555555555556</v>
      </c>
      <c r="H22" s="25">
        <f>((Tabla2[[#This Row],[Salida]] -Tabla2[[#This Row],[Entrada]])-(Tabla2[[#This Row],[Fin almuerzo]]-Tabla2[[#This Row],[Inicio almuerzo]]))*24</f>
        <v>9.5499999999999972</v>
      </c>
      <c r="I22" s="25">
        <f>($H$1-Tabla2[[#This Row],[Horas trabajadas]])</f>
        <v>-4.9999999999997158E-2</v>
      </c>
    </row>
    <row r="23" spans="1:14" x14ac:dyDescent="0.25">
      <c r="A23" s="23" t="s">
        <v>9</v>
      </c>
      <c r="B23" s="30" t="s">
        <v>2</v>
      </c>
      <c r="C23" s="31">
        <v>44551</v>
      </c>
      <c r="D23" s="27">
        <v>0.3611111111111111</v>
      </c>
      <c r="E23" s="17">
        <v>0.54166666666666663</v>
      </c>
      <c r="F23" s="17">
        <v>0.58333333333333337</v>
      </c>
      <c r="G23" s="27">
        <v>0.81041666666666667</v>
      </c>
      <c r="H23" s="25">
        <f>((Tabla2[[#This Row],[Salida]] -Tabla2[[#This Row],[Entrada]])-(Tabla2[[#This Row],[Fin almuerzo]]-Tabla2[[#This Row],[Inicio almuerzo]]))*24</f>
        <v>9.7833333333333314</v>
      </c>
      <c r="I23" s="25">
        <f>($H$1-Tabla2[[#This Row],[Horas trabajadas]])</f>
        <v>-0.28333333333333144</v>
      </c>
    </row>
    <row r="24" spans="1:14" x14ac:dyDescent="0.25">
      <c r="A24" s="23" t="s">
        <v>4</v>
      </c>
      <c r="B24" s="30" t="s">
        <v>1</v>
      </c>
      <c r="C24" s="31">
        <v>44551</v>
      </c>
      <c r="D24" s="27">
        <v>0.34791666666666665</v>
      </c>
      <c r="E24" s="17">
        <v>0.54166666666666663</v>
      </c>
      <c r="F24" s="17">
        <v>0.58333333333333337</v>
      </c>
      <c r="G24" s="27">
        <v>0.84166666666666667</v>
      </c>
      <c r="H24" s="25">
        <f>((Tabla2[[#This Row],[Salida]] -Tabla2[[#This Row],[Entrada]])-(Tabla2[[#This Row],[Fin almuerzo]]-Tabla2[[#This Row],[Inicio almuerzo]]))*24</f>
        <v>10.849999999999998</v>
      </c>
      <c r="I24" s="25">
        <f>($H$1-Tabla2[[#This Row],[Horas trabajadas]])</f>
        <v>-1.3499999999999979</v>
      </c>
    </row>
    <row r="25" spans="1:14" x14ac:dyDescent="0.25">
      <c r="A25" s="23" t="s">
        <v>5</v>
      </c>
      <c r="B25" s="30" t="s">
        <v>0</v>
      </c>
      <c r="C25" s="31">
        <v>44550</v>
      </c>
      <c r="D25" s="27">
        <v>0.35555555555555557</v>
      </c>
      <c r="E25" s="17">
        <v>0.54166666666666663</v>
      </c>
      <c r="F25" s="17">
        <v>0.58333333333333337</v>
      </c>
      <c r="G25" s="27">
        <v>0.7895833333333333</v>
      </c>
      <c r="H25" s="25">
        <f>((Tabla2[[#This Row],[Salida]] -Tabla2[[#This Row],[Entrada]])-(Tabla2[[#This Row],[Fin almuerzo]]-Tabla2[[#This Row],[Inicio almuerzo]]))*24</f>
        <v>9.4166666666666643</v>
      </c>
      <c r="I25" s="25">
        <f>($H$1-Tabla2[[#This Row],[Horas trabajadas]])</f>
        <v>8.3333333333335702E-2</v>
      </c>
    </row>
    <row r="26" spans="1:14" x14ac:dyDescent="0.25">
      <c r="A26" s="23" t="s">
        <v>8</v>
      </c>
      <c r="B26" s="30" t="s">
        <v>2</v>
      </c>
      <c r="C26" s="31">
        <v>44550</v>
      </c>
      <c r="D26" s="27">
        <v>0.36805555555555558</v>
      </c>
      <c r="E26" s="17">
        <v>0.54166666666666663</v>
      </c>
      <c r="F26" s="17">
        <v>0.58333333333333337</v>
      </c>
      <c r="G26" s="27">
        <v>0.7895833333333333</v>
      </c>
      <c r="H26" s="25">
        <f>((Tabla2[[#This Row],[Salida]] -Tabla2[[#This Row],[Entrada]])-(Tabla2[[#This Row],[Fin almuerzo]]-Tabla2[[#This Row],[Inicio almuerzo]]))*24</f>
        <v>9.1166666666666636</v>
      </c>
      <c r="I26" s="25">
        <f>($H$1-Tabla2[[#This Row],[Horas trabajadas]])</f>
        <v>0.38333333333333641</v>
      </c>
    </row>
    <row r="27" spans="1:14" x14ac:dyDescent="0.25">
      <c r="A27" s="23" t="s">
        <v>9</v>
      </c>
      <c r="B27" s="30" t="s">
        <v>2</v>
      </c>
      <c r="C27" s="31">
        <v>44550</v>
      </c>
      <c r="D27" s="27">
        <v>0.35347222222222219</v>
      </c>
      <c r="E27" s="17">
        <v>0.54166666666666663</v>
      </c>
      <c r="F27" s="17">
        <v>0.58333333333333337</v>
      </c>
      <c r="G27" s="27">
        <v>0.7895833333333333</v>
      </c>
      <c r="H27" s="25">
        <f>((Tabla2[[#This Row],[Salida]] -Tabla2[[#This Row],[Entrada]])-(Tabla2[[#This Row],[Fin almuerzo]]-Tabla2[[#This Row],[Inicio almuerzo]]))*24</f>
        <v>9.466666666666665</v>
      </c>
      <c r="I27" s="25">
        <f>($H$1-Tabla2[[#This Row],[Horas trabajadas]])</f>
        <v>3.3333333333334991E-2</v>
      </c>
    </row>
    <row r="28" spans="1:14" x14ac:dyDescent="0.25">
      <c r="A28" s="23" t="s">
        <v>4</v>
      </c>
      <c r="B28" s="30" t="s">
        <v>1</v>
      </c>
      <c r="C28" s="31">
        <v>44550</v>
      </c>
      <c r="D28" s="27">
        <v>0.34652777777777777</v>
      </c>
      <c r="E28" s="17">
        <v>0.54166666666666663</v>
      </c>
      <c r="F28" s="17">
        <v>0.58333333333333337</v>
      </c>
      <c r="G28" s="27">
        <v>0.82847222222222217</v>
      </c>
      <c r="H28" s="25">
        <f>((Tabla2[[#This Row],[Salida]] -Tabla2[[#This Row],[Entrada]])-(Tabla2[[#This Row],[Fin almuerzo]]-Tabla2[[#This Row],[Inicio almuerzo]]))*24</f>
        <v>10.566666666666663</v>
      </c>
      <c r="I28" s="25">
        <f>($H$1-Tabla2[[#This Row],[Horas trabajadas]])</f>
        <v>-1.0666666666666629</v>
      </c>
    </row>
    <row r="29" spans="1:14" x14ac:dyDescent="0.25">
      <c r="A29" s="23" t="s">
        <v>5</v>
      </c>
      <c r="B29" s="30" t="s">
        <v>0</v>
      </c>
      <c r="C29" s="31">
        <v>44547</v>
      </c>
      <c r="D29" s="27">
        <v>0.35625000000000001</v>
      </c>
      <c r="E29" s="17">
        <v>0.54166666666666663</v>
      </c>
      <c r="F29" s="17">
        <v>0.58333333333333337</v>
      </c>
      <c r="G29" s="27">
        <v>0.81458333333333333</v>
      </c>
      <c r="H29" s="25">
        <f>((Tabla2[[#This Row],[Salida]] -Tabla2[[#This Row],[Entrada]])-(Tabla2[[#This Row],[Fin almuerzo]]-Tabla2[[#This Row],[Inicio almuerzo]]))*24</f>
        <v>9.9999999999999982</v>
      </c>
      <c r="I29" s="25">
        <f>($H$1-Tabla2[[#This Row],[Horas trabajadas]])</f>
        <v>-0.49999999999999822</v>
      </c>
    </row>
    <row r="30" spans="1:14" x14ac:dyDescent="0.25">
      <c r="A30" s="23" t="s">
        <v>8</v>
      </c>
      <c r="B30" s="30" t="s">
        <v>2</v>
      </c>
      <c r="C30" s="31">
        <v>44547</v>
      </c>
      <c r="D30" s="27">
        <v>0.35694444444444445</v>
      </c>
      <c r="E30" s="17">
        <v>0.54166666666666663</v>
      </c>
      <c r="F30" s="17">
        <v>0.58333333333333337</v>
      </c>
      <c r="G30" s="27">
        <v>0.8125</v>
      </c>
      <c r="H30" s="25">
        <f>((Tabla2[[#This Row],[Salida]] -Tabla2[[#This Row],[Entrada]])-(Tabla2[[#This Row],[Fin almuerzo]]-Tabla2[[#This Row],[Inicio almuerzo]]))*24</f>
        <v>9.9333333333333318</v>
      </c>
      <c r="I30" s="25">
        <f>($H$1-Tabla2[[#This Row],[Horas trabajadas]])</f>
        <v>-0.43333333333333179</v>
      </c>
      <c r="N30" s="11"/>
    </row>
    <row r="31" spans="1:14" x14ac:dyDescent="0.25">
      <c r="A31" s="23" t="s">
        <v>9</v>
      </c>
      <c r="B31" s="30" t="s">
        <v>2</v>
      </c>
      <c r="C31" s="31">
        <v>44547</v>
      </c>
      <c r="D31" s="27">
        <v>0.34930555555555554</v>
      </c>
      <c r="E31" s="17">
        <v>0.54166666666666663</v>
      </c>
      <c r="F31" s="17">
        <v>0.58333333333333337</v>
      </c>
      <c r="G31" s="27">
        <v>0.8125</v>
      </c>
      <c r="H31" s="25">
        <f>((Tabla2[[#This Row],[Salida]] -Tabla2[[#This Row],[Entrada]])-(Tabla2[[#This Row],[Fin almuerzo]]-Tabla2[[#This Row],[Inicio almuerzo]]))*24</f>
        <v>10.116666666666665</v>
      </c>
      <c r="I31" s="25">
        <f>($H$1-Tabla2[[#This Row],[Horas trabajadas]])</f>
        <v>-0.61666666666666536</v>
      </c>
      <c r="N31" s="11"/>
    </row>
    <row r="32" spans="1:14" x14ac:dyDescent="0.25">
      <c r="A32" s="23" t="s">
        <v>4</v>
      </c>
      <c r="B32" s="30" t="s">
        <v>1</v>
      </c>
      <c r="C32" s="31">
        <v>44547</v>
      </c>
      <c r="D32" s="27">
        <v>0.34583333333333338</v>
      </c>
      <c r="E32" s="17">
        <v>0.54166666666666663</v>
      </c>
      <c r="F32" s="17">
        <v>0.58333333333333337</v>
      </c>
      <c r="G32" s="27">
        <v>0.84513888888888899</v>
      </c>
      <c r="H32" s="25">
        <f>((Tabla2[[#This Row],[Salida]] -Tabla2[[#This Row],[Entrada]])-(Tabla2[[#This Row],[Fin almuerzo]]-Tabla2[[#This Row],[Inicio almuerzo]]))*24</f>
        <v>10.983333333333333</v>
      </c>
      <c r="I32" s="25">
        <f>($H$1-Tabla2[[#This Row],[Horas trabajadas]])</f>
        <v>-1.4833333333333325</v>
      </c>
      <c r="N32" s="11"/>
    </row>
    <row r="33" spans="1:14" x14ac:dyDescent="0.25">
      <c r="A33" s="23" t="s">
        <v>5</v>
      </c>
      <c r="B33" s="30" t="s">
        <v>0</v>
      </c>
      <c r="C33" s="31">
        <v>44546</v>
      </c>
      <c r="D33" s="27">
        <v>0.3527777777777778</v>
      </c>
      <c r="E33" s="17">
        <v>0.54166666666666663</v>
      </c>
      <c r="F33" s="17">
        <v>0.58333333333333337</v>
      </c>
      <c r="G33" s="27">
        <v>0.80694444444444446</v>
      </c>
      <c r="H33" s="25">
        <f>((Tabla2[[#This Row],[Salida]] -Tabla2[[#This Row],[Entrada]])-(Tabla2[[#This Row],[Fin almuerzo]]-Tabla2[[#This Row],[Inicio almuerzo]]))*24</f>
        <v>9.8999999999999986</v>
      </c>
      <c r="I33" s="25">
        <f>($H$1-Tabla2[[#This Row],[Horas trabajadas]])</f>
        <v>-0.39999999999999858</v>
      </c>
      <c r="N33" s="11"/>
    </row>
    <row r="34" spans="1:14" x14ac:dyDescent="0.25">
      <c r="A34" s="23" t="s">
        <v>8</v>
      </c>
      <c r="B34" s="30" t="s">
        <v>2</v>
      </c>
      <c r="C34" s="31">
        <v>44546</v>
      </c>
      <c r="D34" s="27">
        <v>0.36944444444444446</v>
      </c>
      <c r="E34" s="17">
        <v>0.54166666666666663</v>
      </c>
      <c r="F34" s="17">
        <v>0.58333333333333337</v>
      </c>
      <c r="G34" s="27">
        <v>0.80972222222222223</v>
      </c>
      <c r="H34" s="25">
        <f>((Tabla2[[#This Row],[Salida]] -Tabla2[[#This Row],[Entrada]])-(Tabla2[[#This Row],[Fin almuerzo]]-Tabla2[[#This Row],[Inicio almuerzo]]))*24</f>
        <v>9.5666666666666647</v>
      </c>
      <c r="I34" s="25">
        <f>($H$1-Tabla2[[#This Row],[Horas trabajadas]])</f>
        <v>-6.6666666666664653E-2</v>
      </c>
      <c r="N34" s="11"/>
    </row>
    <row r="35" spans="1:14" x14ac:dyDescent="0.25">
      <c r="A35" s="23" t="s">
        <v>9</v>
      </c>
      <c r="B35" s="30" t="s">
        <v>2</v>
      </c>
      <c r="C35" s="31">
        <v>44546</v>
      </c>
      <c r="D35" s="27">
        <v>0.36944444444444446</v>
      </c>
      <c r="E35" s="17">
        <v>0.54166666666666663</v>
      </c>
      <c r="F35" s="17">
        <v>0.58333333333333337</v>
      </c>
      <c r="G35" s="27">
        <v>0.80972222222222223</v>
      </c>
      <c r="H35" s="25">
        <f>((Tabla2[[#This Row],[Salida]] -Tabla2[[#This Row],[Entrada]])-(Tabla2[[#This Row],[Fin almuerzo]]-Tabla2[[#This Row],[Inicio almuerzo]]))*24</f>
        <v>9.5666666666666647</v>
      </c>
      <c r="I35" s="25">
        <f>($H$1-Tabla2[[#This Row],[Horas trabajadas]])</f>
        <v>-6.6666666666664653E-2</v>
      </c>
      <c r="N35" s="11"/>
    </row>
    <row r="36" spans="1:14" x14ac:dyDescent="0.25">
      <c r="A36" s="23" t="s">
        <v>4</v>
      </c>
      <c r="B36" s="30" t="s">
        <v>1</v>
      </c>
      <c r="C36" s="31">
        <v>44546</v>
      </c>
      <c r="D36" s="27">
        <v>0.34791666666666665</v>
      </c>
      <c r="E36" s="17">
        <v>0.54166666666666663</v>
      </c>
      <c r="F36" s="17">
        <v>0.58333333333333337</v>
      </c>
      <c r="G36" s="27">
        <v>0.87430555555555556</v>
      </c>
      <c r="H36" s="25">
        <f>((Tabla2[[#This Row],[Salida]] -Tabla2[[#This Row],[Entrada]])-(Tabla2[[#This Row],[Fin almuerzo]]-Tabla2[[#This Row],[Inicio almuerzo]]))*24</f>
        <v>11.633333333333333</v>
      </c>
      <c r="I36" s="25">
        <f>($H$1-Tabla2[[#This Row],[Horas trabajadas]])</f>
        <v>-2.1333333333333329</v>
      </c>
      <c r="N36" s="11"/>
    </row>
    <row r="37" spans="1:14" x14ac:dyDescent="0.25">
      <c r="A37" s="23" t="s">
        <v>5</v>
      </c>
      <c r="B37" s="30" t="s">
        <v>0</v>
      </c>
      <c r="C37" s="31">
        <v>44545</v>
      </c>
      <c r="D37" s="27">
        <v>0.34583333333333338</v>
      </c>
      <c r="E37" s="17">
        <v>0.54166666666666663</v>
      </c>
      <c r="F37" s="17">
        <v>0.58333333333333337</v>
      </c>
      <c r="G37" s="27">
        <v>0.78888888888888886</v>
      </c>
      <c r="H37" s="25">
        <f>((Tabla2[[#This Row],[Salida]] -Tabla2[[#This Row],[Entrada]])-(Tabla2[[#This Row],[Fin almuerzo]]-Tabla2[[#This Row],[Inicio almuerzo]]))*24</f>
        <v>9.6333333333333293</v>
      </c>
      <c r="I37" s="25">
        <f>($H$1-Tabla2[[#This Row],[Horas trabajadas]])</f>
        <v>-0.13333333333332931</v>
      </c>
      <c r="N37" s="11"/>
    </row>
    <row r="38" spans="1:14" x14ac:dyDescent="0.25">
      <c r="A38" s="23" t="s">
        <v>8</v>
      </c>
      <c r="B38" s="30" t="s">
        <v>2</v>
      </c>
      <c r="C38" s="31">
        <v>44545</v>
      </c>
      <c r="D38" s="27">
        <v>0.36805555555555558</v>
      </c>
      <c r="E38" s="17">
        <v>0.54166666666666663</v>
      </c>
      <c r="F38" s="17">
        <v>0.58333333333333337</v>
      </c>
      <c r="G38" s="27">
        <v>0.7944444444444444</v>
      </c>
      <c r="H38" s="25">
        <f>((Tabla2[[#This Row],[Salida]] -Tabla2[[#This Row],[Entrada]])-(Tabla2[[#This Row],[Fin almuerzo]]-Tabla2[[#This Row],[Inicio almuerzo]]))*24</f>
        <v>9.2333333333333307</v>
      </c>
      <c r="I38" s="25">
        <f>($H$1-Tabla2[[#This Row],[Horas trabajadas]])</f>
        <v>0.26666666666666927</v>
      </c>
      <c r="N38" s="11"/>
    </row>
    <row r="39" spans="1:14" x14ac:dyDescent="0.25">
      <c r="A39" s="23" t="s">
        <v>9</v>
      </c>
      <c r="B39" s="30" t="s">
        <v>2</v>
      </c>
      <c r="C39" s="31">
        <v>44545</v>
      </c>
      <c r="D39" s="27">
        <v>0.36180555555555555</v>
      </c>
      <c r="E39" s="17">
        <v>0.54166666666666663</v>
      </c>
      <c r="F39" s="17">
        <v>0.58333333333333337</v>
      </c>
      <c r="G39" s="27">
        <v>0.8027777777777777</v>
      </c>
      <c r="H39" s="25">
        <f>((Tabla2[[#This Row],[Salida]] -Tabla2[[#This Row],[Entrada]])-(Tabla2[[#This Row],[Fin almuerzo]]-Tabla2[[#This Row],[Inicio almuerzo]]))*24</f>
        <v>9.5833333333333304</v>
      </c>
      <c r="I39" s="25">
        <f>($H$1-Tabla2[[#This Row],[Horas trabajadas]])</f>
        <v>-8.3333333333330373E-2</v>
      </c>
      <c r="N39" s="11"/>
    </row>
    <row r="40" spans="1:14" x14ac:dyDescent="0.25">
      <c r="A40" s="23" t="s">
        <v>4</v>
      </c>
      <c r="B40" s="30" t="s">
        <v>1</v>
      </c>
      <c r="C40" s="31">
        <v>44545</v>
      </c>
      <c r="D40" s="27">
        <v>0.34375</v>
      </c>
      <c r="E40" s="17">
        <v>0.54166666666666663</v>
      </c>
      <c r="F40" s="17">
        <v>0.58333333333333337</v>
      </c>
      <c r="G40" s="27">
        <v>0.85625000000000007</v>
      </c>
      <c r="H40" s="25">
        <f>((Tabla2[[#This Row],[Salida]] -Tabla2[[#This Row],[Entrada]])-(Tabla2[[#This Row],[Fin almuerzo]]-Tabla2[[#This Row],[Inicio almuerzo]]))*24</f>
        <v>11.3</v>
      </c>
      <c r="I40" s="25">
        <f>($H$1-Tabla2[[#This Row],[Horas trabajadas]])</f>
        <v>-1.8000000000000007</v>
      </c>
      <c r="N40" s="11"/>
    </row>
    <row r="41" spans="1:14" x14ac:dyDescent="0.25">
      <c r="A41" s="23" t="s">
        <v>5</v>
      </c>
      <c r="B41" s="30" t="s">
        <v>0</v>
      </c>
      <c r="C41" s="31">
        <v>44544</v>
      </c>
      <c r="D41" s="27">
        <v>0.34236111111111112</v>
      </c>
      <c r="E41" s="17">
        <v>0.54166666666666663</v>
      </c>
      <c r="F41" s="17">
        <v>0.58333333333333337</v>
      </c>
      <c r="G41" s="27">
        <v>0.7993055555555556</v>
      </c>
      <c r="H41" s="25">
        <f>((Tabla2[[#This Row],[Salida]] -Tabla2[[#This Row],[Entrada]])-(Tabla2[[#This Row],[Fin almuerzo]]-Tabla2[[#This Row],[Inicio almuerzo]]))*24</f>
        <v>9.966666666666665</v>
      </c>
      <c r="I41" s="25">
        <f>($H$1-Tabla2[[#This Row],[Horas trabajadas]])</f>
        <v>-0.46666666666666501</v>
      </c>
      <c r="N41" s="11"/>
    </row>
    <row r="42" spans="1:14" x14ac:dyDescent="0.25">
      <c r="A42" s="23" t="s">
        <v>8</v>
      </c>
      <c r="B42" s="30" t="s">
        <v>2</v>
      </c>
      <c r="C42" s="31">
        <v>44544</v>
      </c>
      <c r="D42" s="27">
        <v>0.36736111111111108</v>
      </c>
      <c r="E42" s="17">
        <v>0.54166666666666663</v>
      </c>
      <c r="F42" s="17">
        <v>0.58333333333333337</v>
      </c>
      <c r="G42" s="27">
        <v>0.81458333333333333</v>
      </c>
      <c r="H42" s="25">
        <f>((Tabla2[[#This Row],[Salida]] -Tabla2[[#This Row],[Entrada]])-(Tabla2[[#This Row],[Fin almuerzo]]-Tabla2[[#This Row],[Inicio almuerzo]]))*24</f>
        <v>9.7333333333333325</v>
      </c>
      <c r="I42" s="25">
        <f>($H$1-Tabla2[[#This Row],[Horas trabajadas]])</f>
        <v>-0.2333333333333325</v>
      </c>
      <c r="N42" s="11"/>
    </row>
    <row r="43" spans="1:14" x14ac:dyDescent="0.25">
      <c r="A43" s="23" t="s">
        <v>9</v>
      </c>
      <c r="B43" s="30" t="s">
        <v>2</v>
      </c>
      <c r="C43" s="31">
        <v>44544</v>
      </c>
      <c r="D43" s="27">
        <v>0.34236111111111112</v>
      </c>
      <c r="E43" s="17">
        <v>0.54166666666666663</v>
      </c>
      <c r="F43" s="17">
        <v>0.58333333333333337</v>
      </c>
      <c r="G43" s="27">
        <v>0.81458333333333333</v>
      </c>
      <c r="H43" s="25">
        <f>((Tabla2[[#This Row],[Salida]] -Tabla2[[#This Row],[Entrada]])-(Tabla2[[#This Row],[Fin almuerzo]]-Tabla2[[#This Row],[Inicio almuerzo]]))*24</f>
        <v>10.333333333333332</v>
      </c>
      <c r="I43" s="25">
        <f>($H$1-Tabla2[[#This Row],[Horas trabajadas]])</f>
        <v>-0.83333333333333215</v>
      </c>
      <c r="N43" s="11"/>
    </row>
    <row r="44" spans="1:14" x14ac:dyDescent="0.25">
      <c r="A44" s="23" t="s">
        <v>4</v>
      </c>
      <c r="B44" s="30" t="s">
        <v>1</v>
      </c>
      <c r="C44" s="31">
        <v>44544</v>
      </c>
      <c r="D44" s="27">
        <v>0.3444444444444445</v>
      </c>
      <c r="E44" s="17">
        <v>0.54166666666666663</v>
      </c>
      <c r="F44" s="17">
        <v>0.58333333333333337</v>
      </c>
      <c r="G44" s="27">
        <v>0.82638888888888884</v>
      </c>
      <c r="H44" s="25">
        <f>((Tabla2[[#This Row],[Salida]] -Tabla2[[#This Row],[Entrada]])-(Tabla2[[#This Row],[Fin almuerzo]]-Tabla2[[#This Row],[Inicio almuerzo]]))*24</f>
        <v>10.566666666666663</v>
      </c>
      <c r="I44" s="25">
        <f>($H$1-Tabla2[[#This Row],[Horas trabajadas]])</f>
        <v>-1.0666666666666629</v>
      </c>
      <c r="N44" s="11"/>
    </row>
    <row r="45" spans="1:14" x14ac:dyDescent="0.25">
      <c r="A45" s="23" t="s">
        <v>5</v>
      </c>
      <c r="B45" s="30" t="s">
        <v>0</v>
      </c>
      <c r="C45" s="31">
        <v>44543</v>
      </c>
      <c r="D45" s="27">
        <v>0.3527777777777778</v>
      </c>
      <c r="E45" s="17">
        <v>0.54166666666666663</v>
      </c>
      <c r="F45" s="17">
        <v>0.58333333333333337</v>
      </c>
      <c r="G45" s="27">
        <v>0.81180555555555556</v>
      </c>
      <c r="H45" s="25">
        <f>((Tabla2[[#This Row],[Salida]] -Tabla2[[#This Row],[Entrada]])-(Tabla2[[#This Row],[Fin almuerzo]]-Tabla2[[#This Row],[Inicio almuerzo]]))*24</f>
        <v>10.016666666666664</v>
      </c>
      <c r="I45" s="25">
        <f>($H$1-Tabla2[[#This Row],[Horas trabajadas]])</f>
        <v>-0.51666666666666394</v>
      </c>
      <c r="N45" s="11"/>
    </row>
    <row r="46" spans="1:14" x14ac:dyDescent="0.25">
      <c r="A46" s="23" t="s">
        <v>8</v>
      </c>
      <c r="B46" s="30" t="s">
        <v>2</v>
      </c>
      <c r="C46" s="31">
        <v>44543</v>
      </c>
      <c r="D46" s="27">
        <v>0.36874999999999997</v>
      </c>
      <c r="E46" s="17">
        <v>0.54166666666666663</v>
      </c>
      <c r="F46" s="17">
        <v>0.58333333333333337</v>
      </c>
      <c r="G46" s="27">
        <v>0.8125</v>
      </c>
      <c r="H46" s="25">
        <f>((Tabla2[[#This Row],[Salida]] -Tabla2[[#This Row],[Entrada]])-(Tabla2[[#This Row],[Fin almuerzo]]-Tabla2[[#This Row],[Inicio almuerzo]]))*24</f>
        <v>9.6499999999999986</v>
      </c>
      <c r="I46" s="25">
        <f>($H$1-Tabla2[[#This Row],[Horas trabajadas]])</f>
        <v>-0.14999999999999858</v>
      </c>
      <c r="N46" s="11"/>
    </row>
    <row r="47" spans="1:14" x14ac:dyDescent="0.25">
      <c r="A47" s="23" t="s">
        <v>9</v>
      </c>
      <c r="B47" s="30" t="s">
        <v>2</v>
      </c>
      <c r="C47" s="31">
        <v>44543</v>
      </c>
      <c r="D47" s="27">
        <v>0.37916666666666665</v>
      </c>
      <c r="E47" s="17">
        <v>0.54166666666666663</v>
      </c>
      <c r="F47" s="17">
        <v>0.58333333333333337</v>
      </c>
      <c r="G47" s="27">
        <v>0.8125</v>
      </c>
      <c r="H47" s="40">
        <f>((Tabla2[[#This Row],[Salida]] -Tabla2[[#This Row],[Entrada]])-(Tabla2[[#This Row],[Fin almuerzo]]-Tabla2[[#This Row],[Inicio almuerzo]]))*24</f>
        <v>9.3999999999999986</v>
      </c>
      <c r="I47" s="25">
        <f>($H$1-Tabla2[[#This Row],[Horas trabajadas]])</f>
        <v>0.10000000000000142</v>
      </c>
      <c r="N47" s="11"/>
    </row>
    <row r="48" spans="1:14" x14ac:dyDescent="0.25">
      <c r="A48" s="23" t="s">
        <v>4</v>
      </c>
      <c r="B48" s="30" t="s">
        <v>1</v>
      </c>
      <c r="C48" s="31">
        <v>44543</v>
      </c>
      <c r="D48" s="27">
        <v>0.34027777777777773</v>
      </c>
      <c r="E48" s="17">
        <v>0.54166666666666663</v>
      </c>
      <c r="F48" s="17">
        <v>0.58333333333333337</v>
      </c>
      <c r="G48" s="27">
        <v>0.80347222222222225</v>
      </c>
      <c r="H48" s="25">
        <f>((Tabla2[[#This Row],[Salida]] -Tabla2[[#This Row],[Entrada]])-(Tabla2[[#This Row],[Fin almuerzo]]-Tabla2[[#This Row],[Inicio almuerzo]]))*24</f>
        <v>10.116666666666667</v>
      </c>
      <c r="I48" s="25">
        <f>($H$1-Tabla2[[#This Row],[Horas trabajadas]])</f>
        <v>-0.61666666666666714</v>
      </c>
      <c r="N48" s="11"/>
    </row>
    <row r="49" spans="1:14" x14ac:dyDescent="0.25">
      <c r="A49" s="23" t="s">
        <v>5</v>
      </c>
      <c r="B49" s="30" t="s">
        <v>0</v>
      </c>
      <c r="C49" s="31">
        <v>44540</v>
      </c>
      <c r="D49" s="27">
        <v>0.35000000000000003</v>
      </c>
      <c r="E49" s="17">
        <v>0.54166666666666663</v>
      </c>
      <c r="F49" s="17">
        <v>0.58333333333333337</v>
      </c>
      <c r="G49" s="27">
        <v>0.80208333333333337</v>
      </c>
      <c r="H49" s="25">
        <f>((Tabla2[[#This Row],[Salida]] -Tabla2[[#This Row],[Entrada]])-(Tabla2[[#This Row],[Fin almuerzo]]-Tabla2[[#This Row],[Inicio almuerzo]]))*24</f>
        <v>9.8499999999999979</v>
      </c>
      <c r="I49" s="25">
        <f>($H$1-Tabla2[[#This Row],[Horas trabajadas]])</f>
        <v>-0.34999999999999787</v>
      </c>
      <c r="N49" s="11"/>
    </row>
    <row r="50" spans="1:14" x14ac:dyDescent="0.25">
      <c r="A50" s="23" t="s">
        <v>8</v>
      </c>
      <c r="B50" s="30" t="s">
        <v>2</v>
      </c>
      <c r="C50" s="31">
        <v>44540</v>
      </c>
      <c r="D50" s="27">
        <v>0.36388888888888887</v>
      </c>
      <c r="E50" s="17">
        <v>0.54166666666666663</v>
      </c>
      <c r="F50" s="17">
        <v>0.58333333333333337</v>
      </c>
      <c r="G50" s="27">
        <v>0.80208333333333337</v>
      </c>
      <c r="H50" s="25">
        <f>((Tabla2[[#This Row],[Salida]] -Tabla2[[#This Row],[Entrada]])-(Tabla2[[#This Row],[Fin almuerzo]]-Tabla2[[#This Row],[Inicio almuerzo]]))*24</f>
        <v>9.5166666666666657</v>
      </c>
      <c r="I50" s="25">
        <f>($H$1-Tabla2[[#This Row],[Horas trabajadas]])</f>
        <v>-1.6666666666665719E-2</v>
      </c>
      <c r="N50" s="11"/>
    </row>
    <row r="51" spans="1:14" x14ac:dyDescent="0.25">
      <c r="A51" s="23" t="s">
        <v>9</v>
      </c>
      <c r="B51" s="30" t="s">
        <v>2</v>
      </c>
      <c r="C51" s="31">
        <v>44540</v>
      </c>
      <c r="D51" s="27">
        <v>0.3576388888888889</v>
      </c>
      <c r="E51" s="17">
        <v>0.54166666666666663</v>
      </c>
      <c r="F51" s="17">
        <v>0.58333333333333337</v>
      </c>
      <c r="G51" s="27">
        <v>0.80208333333333337</v>
      </c>
      <c r="H51" s="25">
        <f>((Tabla2[[#This Row],[Salida]] -Tabla2[[#This Row],[Entrada]])-(Tabla2[[#This Row],[Fin almuerzo]]-Tabla2[[#This Row],[Inicio almuerzo]]))*24</f>
        <v>9.6666666666666661</v>
      </c>
      <c r="I51" s="25">
        <f>($H$1-Tabla2[[#This Row],[Horas trabajadas]])</f>
        <v>-0.16666666666666607</v>
      </c>
      <c r="N51" s="11"/>
    </row>
    <row r="52" spans="1:14" x14ac:dyDescent="0.25">
      <c r="A52" s="23" t="s">
        <v>4</v>
      </c>
      <c r="B52" s="30" t="s">
        <v>1</v>
      </c>
      <c r="C52" s="31">
        <v>44540</v>
      </c>
      <c r="D52" s="27">
        <v>0.34930555555555554</v>
      </c>
      <c r="E52" s="17">
        <v>0.54166666666666663</v>
      </c>
      <c r="F52" s="17">
        <v>0.58333333333333337</v>
      </c>
      <c r="G52" s="27">
        <v>0.79791666666666661</v>
      </c>
      <c r="H52" s="25">
        <f>((Tabla2[[#This Row],[Salida]] -Tabla2[[#This Row],[Entrada]])-(Tabla2[[#This Row],[Fin almuerzo]]-Tabla2[[#This Row],[Inicio almuerzo]]))*24</f>
        <v>9.7666666666666639</v>
      </c>
      <c r="I52" s="25">
        <f>($H$1-Tabla2[[#This Row],[Horas trabajadas]])</f>
        <v>-0.26666666666666394</v>
      </c>
      <c r="N52" s="11"/>
    </row>
    <row r="53" spans="1:14" x14ac:dyDescent="0.25">
      <c r="A53" s="23" t="s">
        <v>5</v>
      </c>
      <c r="B53" s="30" t="s">
        <v>0</v>
      </c>
      <c r="C53" s="31">
        <v>44539</v>
      </c>
      <c r="D53" s="27">
        <v>0.3666666666666667</v>
      </c>
      <c r="E53" s="17">
        <v>0.54166666666666663</v>
      </c>
      <c r="F53" s="17">
        <v>0.58333333333333337</v>
      </c>
      <c r="G53" s="27">
        <v>0.80833333333333324</v>
      </c>
      <c r="H53" s="25">
        <f>((Tabla2[[#This Row],[Salida]] -Tabla2[[#This Row],[Entrada]])-(Tabla2[[#This Row],[Fin almuerzo]]-Tabla2[[#This Row],[Inicio almuerzo]]))*24</f>
        <v>9.5999999999999943</v>
      </c>
      <c r="I53" s="25">
        <f>($H$1-Tabla2[[#This Row],[Horas trabajadas]])</f>
        <v>-9.9999999999994316E-2</v>
      </c>
      <c r="N53" s="11"/>
    </row>
    <row r="54" spans="1:14" x14ac:dyDescent="0.25">
      <c r="A54" s="23" t="s">
        <v>8</v>
      </c>
      <c r="B54" s="30" t="s">
        <v>2</v>
      </c>
      <c r="C54" s="31">
        <v>44539</v>
      </c>
      <c r="D54" s="27">
        <v>0.36041666666666666</v>
      </c>
      <c r="E54" s="17">
        <v>0.54166666666666663</v>
      </c>
      <c r="F54" s="17">
        <v>0.58333333333333337</v>
      </c>
      <c r="G54" s="27">
        <v>0.80694444444444446</v>
      </c>
      <c r="H54" s="25">
        <f>((Tabla2[[#This Row],[Salida]] -Tabla2[[#This Row],[Entrada]])-(Tabla2[[#This Row],[Fin almuerzo]]-Tabla2[[#This Row],[Inicio almuerzo]]))*24</f>
        <v>9.716666666666665</v>
      </c>
      <c r="I54" s="25">
        <f>($H$1-Tabla2[[#This Row],[Horas trabajadas]])</f>
        <v>-0.21666666666666501</v>
      </c>
      <c r="N54" s="11"/>
    </row>
    <row r="55" spans="1:14" x14ac:dyDescent="0.25">
      <c r="A55" s="23" t="s">
        <v>9</v>
      </c>
      <c r="B55" s="30" t="s">
        <v>2</v>
      </c>
      <c r="C55" s="31">
        <v>44539</v>
      </c>
      <c r="D55" s="27">
        <v>0.34861111111111115</v>
      </c>
      <c r="E55" s="17">
        <v>0.54166666666666663</v>
      </c>
      <c r="F55" s="17">
        <v>0.58333333333333337</v>
      </c>
      <c r="G55" s="27">
        <v>0.80763888888888891</v>
      </c>
      <c r="H55" s="25">
        <f>((Tabla2[[#This Row],[Salida]] -Tabla2[[#This Row],[Entrada]])-(Tabla2[[#This Row],[Fin almuerzo]]-Tabla2[[#This Row],[Inicio almuerzo]]))*24</f>
        <v>10.016666666666664</v>
      </c>
      <c r="I55" s="25">
        <f>($H$1-Tabla2[[#This Row],[Horas trabajadas]])</f>
        <v>-0.51666666666666394</v>
      </c>
      <c r="N55" s="11"/>
    </row>
    <row r="56" spans="1:14" x14ac:dyDescent="0.25">
      <c r="A56" s="23" t="s">
        <v>4</v>
      </c>
      <c r="B56" s="30" t="s">
        <v>1</v>
      </c>
      <c r="C56" s="31">
        <v>44539</v>
      </c>
      <c r="D56" s="27">
        <v>0.3520833333333333</v>
      </c>
      <c r="E56" s="17">
        <v>0.54166666666666663</v>
      </c>
      <c r="F56" s="17">
        <v>0.58333333333333337</v>
      </c>
      <c r="G56" s="27">
        <v>0.8027777777777777</v>
      </c>
      <c r="H56" s="25">
        <f>((Tabla2[[#This Row],[Salida]] -Tabla2[[#This Row],[Entrada]])-(Tabla2[[#This Row],[Fin almuerzo]]-Tabla2[[#This Row],[Inicio almuerzo]]))*24</f>
        <v>9.8166666666666629</v>
      </c>
      <c r="I56" s="25">
        <f>($H$1-Tabla2[[#This Row],[Horas trabajadas]])</f>
        <v>-0.31666666666666288</v>
      </c>
      <c r="N56" s="11"/>
    </row>
    <row r="57" spans="1:14" x14ac:dyDescent="0.25">
      <c r="A57" s="23" t="s">
        <v>6</v>
      </c>
      <c r="B57" s="30" t="s">
        <v>3</v>
      </c>
      <c r="C57" s="31">
        <v>44537</v>
      </c>
      <c r="D57" s="27">
        <v>0.3888888888888889</v>
      </c>
      <c r="E57" s="17">
        <v>0.54166666666666663</v>
      </c>
      <c r="F57" s="17">
        <v>0.58333333333333337</v>
      </c>
      <c r="G57" s="27">
        <v>0.77222222222222225</v>
      </c>
      <c r="H57" s="25">
        <f>((Tabla2[[#This Row],[Salida]] -Tabla2[[#This Row],[Entrada]])-(Tabla2[[#This Row],[Fin almuerzo]]-Tabla2[[#This Row],[Inicio almuerzo]]))*24</f>
        <v>8.1999999999999993</v>
      </c>
      <c r="I57" s="25">
        <f>($H$1-Tabla2[[#This Row],[Horas trabajadas]])</f>
        <v>1.3000000000000007</v>
      </c>
      <c r="N57" s="11"/>
    </row>
    <row r="58" spans="1:14" x14ac:dyDescent="0.25">
      <c r="A58" s="23" t="s">
        <v>5</v>
      </c>
      <c r="B58" s="30" t="s">
        <v>0</v>
      </c>
      <c r="C58" s="31">
        <v>44537</v>
      </c>
      <c r="D58" s="27">
        <v>0.35486111111111113</v>
      </c>
      <c r="E58" s="17">
        <v>0.54166666666666663</v>
      </c>
      <c r="F58" s="17">
        <v>0.58333333333333337</v>
      </c>
      <c r="G58" s="27">
        <v>0.80833333333333324</v>
      </c>
      <c r="H58" s="25">
        <f>((Tabla2[[#This Row],[Salida]] -Tabla2[[#This Row],[Entrada]])-(Tabla2[[#This Row],[Fin almuerzo]]-Tabla2[[#This Row],[Inicio almuerzo]]))*24</f>
        <v>9.8833333333333293</v>
      </c>
      <c r="I58" s="25">
        <f>($H$1-Tabla2[[#This Row],[Horas trabajadas]])</f>
        <v>-0.38333333333332931</v>
      </c>
      <c r="N58" s="11"/>
    </row>
    <row r="59" spans="1:14" x14ac:dyDescent="0.25">
      <c r="A59" s="23" t="s">
        <v>8</v>
      </c>
      <c r="B59" s="30" t="s">
        <v>2</v>
      </c>
      <c r="C59" s="31">
        <v>44537</v>
      </c>
      <c r="D59" s="27">
        <v>0.36736111111111108</v>
      </c>
      <c r="E59" s="17">
        <v>0.54166666666666663</v>
      </c>
      <c r="F59" s="17">
        <v>0.58333333333333337</v>
      </c>
      <c r="G59" s="27">
        <v>0.84097222222222223</v>
      </c>
      <c r="H59" s="25">
        <f>((Tabla2[[#This Row],[Salida]] -Tabla2[[#This Row],[Entrada]])-(Tabla2[[#This Row],[Fin almuerzo]]-Tabla2[[#This Row],[Inicio almuerzo]]))*24</f>
        <v>10.366666666666665</v>
      </c>
      <c r="I59" s="25">
        <f>($H$1-Tabla2[[#This Row],[Horas trabajadas]])</f>
        <v>-0.86666666666666536</v>
      </c>
      <c r="N59" s="11"/>
    </row>
    <row r="60" spans="1:14" x14ac:dyDescent="0.25">
      <c r="A60" s="23" t="s">
        <v>9</v>
      </c>
      <c r="B60" s="30" t="s">
        <v>2</v>
      </c>
      <c r="C60" s="31">
        <v>44537</v>
      </c>
      <c r="D60" s="27">
        <v>0.36041666666666666</v>
      </c>
      <c r="E60" s="17">
        <v>0.54166666666666663</v>
      </c>
      <c r="F60" s="17">
        <v>0.58333333333333337</v>
      </c>
      <c r="G60" s="27"/>
      <c r="H60" s="25">
        <f>((Tabla2[[#This Row],[Salida]] -Tabla2[[#This Row],[Entrada]])-(Tabla2[[#This Row],[Fin almuerzo]]-Tabla2[[#This Row],[Inicio almuerzo]]))*24</f>
        <v>-9.6500000000000021</v>
      </c>
      <c r="I60" s="25">
        <f>($H$1-Tabla2[[#This Row],[Horas trabajadas]])</f>
        <v>19.150000000000002</v>
      </c>
      <c r="N60" s="11"/>
    </row>
    <row r="61" spans="1:14" x14ac:dyDescent="0.25">
      <c r="A61" s="23" t="s">
        <v>4</v>
      </c>
      <c r="B61" s="30" t="s">
        <v>1</v>
      </c>
      <c r="C61" s="31">
        <v>44537</v>
      </c>
      <c r="D61" s="27">
        <v>0.34861111111111115</v>
      </c>
      <c r="E61" s="17">
        <v>0.54166666666666663</v>
      </c>
      <c r="F61" s="17">
        <v>0.58333333333333337</v>
      </c>
      <c r="G61" s="27">
        <v>0.7993055555555556</v>
      </c>
      <c r="H61" s="25">
        <f>((Tabla2[[#This Row],[Salida]] -Tabla2[[#This Row],[Entrada]])-(Tabla2[[#This Row],[Fin almuerzo]]-Tabla2[[#This Row],[Inicio almuerzo]]))*24</f>
        <v>9.8166666666666647</v>
      </c>
      <c r="I61" s="25">
        <f>($H$1-Tabla2[[#This Row],[Horas trabajadas]])</f>
        <v>-0.31666666666666465</v>
      </c>
      <c r="N61" s="11"/>
    </row>
    <row r="62" spans="1:14" x14ac:dyDescent="0.25">
      <c r="A62" s="23" t="s">
        <v>5</v>
      </c>
      <c r="B62" s="30" t="s">
        <v>0</v>
      </c>
      <c r="C62" s="31">
        <v>44536</v>
      </c>
      <c r="D62" s="27">
        <v>0.34722222222222227</v>
      </c>
      <c r="E62" s="17">
        <v>0.54166666666666663</v>
      </c>
      <c r="F62" s="17">
        <v>0.58333333333333337</v>
      </c>
      <c r="G62" s="27">
        <v>0.78472222222222221</v>
      </c>
      <c r="H62" s="25">
        <f>((Tabla2[[#This Row],[Salida]] -Tabla2[[#This Row],[Entrada]])-(Tabla2[[#This Row],[Fin almuerzo]]-Tabla2[[#This Row],[Inicio almuerzo]]))*24</f>
        <v>9.4999999999999964</v>
      </c>
      <c r="I62" s="25">
        <v>0</v>
      </c>
      <c r="N62" s="11"/>
    </row>
    <row r="63" spans="1:14" x14ac:dyDescent="0.25">
      <c r="A63" s="23" t="s">
        <v>8</v>
      </c>
      <c r="B63" s="30" t="s">
        <v>2</v>
      </c>
      <c r="C63" s="31">
        <v>44536</v>
      </c>
      <c r="D63" s="27">
        <v>0.34652777777777777</v>
      </c>
      <c r="E63" s="17">
        <v>0.54166666666666663</v>
      </c>
      <c r="F63" s="17">
        <v>0.58333333333333337</v>
      </c>
      <c r="G63" s="27">
        <v>0.79375000000000007</v>
      </c>
      <c r="H63" s="25">
        <f>((Tabla2[[#This Row],[Salida]] -Tabla2[[#This Row],[Entrada]])-(Tabla2[[#This Row],[Fin almuerzo]]-Tabla2[[#This Row],[Inicio almuerzo]]))*24</f>
        <v>9.7333333333333343</v>
      </c>
      <c r="I63" s="25">
        <f>($H$1-Tabla2[[#This Row],[Horas trabajadas]])</f>
        <v>-0.23333333333333428</v>
      </c>
      <c r="N63" s="11"/>
    </row>
    <row r="64" spans="1:14" x14ac:dyDescent="0.25">
      <c r="A64" s="23" t="s">
        <v>9</v>
      </c>
      <c r="B64" s="30" t="s">
        <v>2</v>
      </c>
      <c r="C64" s="31">
        <v>44536</v>
      </c>
      <c r="D64" s="27">
        <v>0.35486111111111113</v>
      </c>
      <c r="E64" s="17">
        <v>0.54166666666666663</v>
      </c>
      <c r="F64" s="17">
        <v>0.58333333333333337</v>
      </c>
      <c r="G64" s="27">
        <v>0.79583333333333339</v>
      </c>
      <c r="H64" s="25">
        <f>((Tabla2[[#This Row],[Salida]] -Tabla2[[#This Row],[Entrada]])-(Tabla2[[#This Row],[Fin almuerzo]]-Tabla2[[#This Row],[Inicio almuerzo]]))*24</f>
        <v>9.5833333333333321</v>
      </c>
      <c r="I64" s="25">
        <f>($H$1-Tabla2[[#This Row],[Horas trabajadas]])</f>
        <v>-8.3333333333332149E-2</v>
      </c>
      <c r="N64" s="11"/>
    </row>
    <row r="65" spans="1:14" x14ac:dyDescent="0.25">
      <c r="A65" s="23" t="s">
        <v>4</v>
      </c>
      <c r="B65" s="30" t="s">
        <v>1</v>
      </c>
      <c r="C65" s="31">
        <v>44536</v>
      </c>
      <c r="D65" s="27">
        <v>0.3444444444444445</v>
      </c>
      <c r="E65" s="17">
        <v>0.54166666666666663</v>
      </c>
      <c r="F65" s="17">
        <v>0.58333333333333337</v>
      </c>
      <c r="G65" s="27">
        <v>0.7944444444444444</v>
      </c>
      <c r="H65" s="25">
        <f>((Tabla2[[#This Row],[Salida]] -Tabla2[[#This Row],[Entrada]])-(Tabla2[[#This Row],[Fin almuerzo]]-Tabla2[[#This Row],[Inicio almuerzo]]))*24</f>
        <v>9.7999999999999954</v>
      </c>
      <c r="I65" s="25">
        <f>($H$1-Tabla2[[#This Row],[Horas trabajadas]])</f>
        <v>-0.29999999999999538</v>
      </c>
      <c r="N65" s="11"/>
    </row>
    <row r="66" spans="1:14" x14ac:dyDescent="0.25">
      <c r="A66" s="23" t="s">
        <v>5</v>
      </c>
      <c r="B66" s="30" t="s">
        <v>0</v>
      </c>
      <c r="C66" s="31">
        <v>44533</v>
      </c>
      <c r="D66" s="27">
        <v>0.35138888888888892</v>
      </c>
      <c r="E66" s="17">
        <v>0.54166666666666663</v>
      </c>
      <c r="F66" s="17">
        <v>0.58333333333333337</v>
      </c>
      <c r="G66" s="27">
        <v>0.79583333333333339</v>
      </c>
      <c r="H66" s="25">
        <f>((Tabla2[[#This Row],[Salida]] -Tabla2[[#This Row],[Entrada]])-(Tabla2[[#This Row],[Fin almuerzo]]-Tabla2[[#This Row],[Inicio almuerzo]]))*24</f>
        <v>9.6666666666666661</v>
      </c>
      <c r="I66" s="25">
        <f>($H$1-Tabla2[[#This Row],[Horas trabajadas]])</f>
        <v>-0.16666666666666607</v>
      </c>
      <c r="N66" s="11"/>
    </row>
    <row r="67" spans="1:14" x14ac:dyDescent="0.25">
      <c r="A67" s="23" t="s">
        <v>9</v>
      </c>
      <c r="B67" s="30" t="s">
        <v>2</v>
      </c>
      <c r="C67" s="31">
        <v>44533</v>
      </c>
      <c r="D67" s="27">
        <v>0.35347222222222219</v>
      </c>
      <c r="E67" s="17">
        <v>0.54166666666666663</v>
      </c>
      <c r="F67" s="17">
        <v>0.58333333333333337</v>
      </c>
      <c r="G67" s="27">
        <v>0.79583333333333339</v>
      </c>
      <c r="H67" s="25">
        <f>((Tabla2[[#This Row],[Salida]] -Tabla2[[#This Row],[Entrada]])-(Tabla2[[#This Row],[Fin almuerzo]]-Tabla2[[#This Row],[Inicio almuerzo]]))*24</f>
        <v>9.6166666666666671</v>
      </c>
      <c r="I67" s="25">
        <f>($H$1-Tabla2[[#This Row],[Horas trabajadas]])</f>
        <v>-0.11666666666666714</v>
      </c>
      <c r="N67" s="11"/>
    </row>
    <row r="68" spans="1:14" x14ac:dyDescent="0.25">
      <c r="A68" s="23" t="s">
        <v>4</v>
      </c>
      <c r="B68" s="30" t="s">
        <v>1</v>
      </c>
      <c r="C68" s="31">
        <v>44533</v>
      </c>
      <c r="D68" s="27">
        <v>0.34930555555555554</v>
      </c>
      <c r="E68" s="17">
        <v>0.54166666666666663</v>
      </c>
      <c r="F68" s="17">
        <v>0.58333333333333337</v>
      </c>
      <c r="G68" s="27">
        <v>0.79513888888888884</v>
      </c>
      <c r="H68" s="25">
        <f>((Tabla2[[#This Row],[Salida]] -Tabla2[[#This Row],[Entrada]])-(Tabla2[[#This Row],[Fin almuerzo]]-Tabla2[[#This Row],[Inicio almuerzo]]))*24</f>
        <v>9.6999999999999975</v>
      </c>
      <c r="I68" s="25">
        <f>($H$1-Tabla2[[#This Row],[Horas trabajadas]])</f>
        <v>-0.19999999999999751</v>
      </c>
      <c r="N68" s="11"/>
    </row>
    <row r="69" spans="1:14" x14ac:dyDescent="0.25">
      <c r="A69" s="23" t="s">
        <v>5</v>
      </c>
      <c r="B69" s="30" t="s">
        <v>0</v>
      </c>
      <c r="C69" s="31">
        <v>44532</v>
      </c>
      <c r="D69" s="27">
        <v>0.36319444444444443</v>
      </c>
      <c r="E69" s="17">
        <v>0.54166666666666663</v>
      </c>
      <c r="F69" s="17">
        <v>0.58333333333333337</v>
      </c>
      <c r="G69" s="27">
        <v>0.78611111111111109</v>
      </c>
      <c r="H69" s="25">
        <f>((Tabla2[[#This Row],[Salida]] -Tabla2[[#This Row],[Entrada]])-(Tabla2[[#This Row],[Fin almuerzo]]-Tabla2[[#This Row],[Inicio almuerzo]]))*24</f>
        <v>9.1499999999999986</v>
      </c>
      <c r="I69" s="25">
        <f>($H$1-Tabla2[[#This Row],[Horas trabajadas]])</f>
        <v>0.35000000000000142</v>
      </c>
      <c r="N69" s="11"/>
    </row>
    <row r="70" spans="1:14" x14ac:dyDescent="0.25">
      <c r="A70" s="23" t="s">
        <v>8</v>
      </c>
      <c r="B70" s="30" t="s">
        <v>2</v>
      </c>
      <c r="C70" s="31">
        <v>44532</v>
      </c>
      <c r="D70" s="27">
        <v>0.36458333333333331</v>
      </c>
      <c r="E70" s="17">
        <v>0.54166666666666663</v>
      </c>
      <c r="F70" s="17">
        <v>0.58333333333333337</v>
      </c>
      <c r="G70" s="27">
        <v>0.8027777777777777</v>
      </c>
      <c r="H70" s="25">
        <f>((Tabla2[[#This Row],[Salida]] -Tabla2[[#This Row],[Entrada]])-(Tabla2[[#This Row],[Fin almuerzo]]-Tabla2[[#This Row],[Inicio almuerzo]]))*24</f>
        <v>9.5166666666666639</v>
      </c>
      <c r="I70" s="25">
        <f>($H$1-Tabla2[[#This Row],[Horas trabajadas]])</f>
        <v>-1.6666666666663943E-2</v>
      </c>
      <c r="N70" s="11"/>
    </row>
    <row r="71" spans="1:14" x14ac:dyDescent="0.25">
      <c r="A71" s="23" t="s">
        <v>9</v>
      </c>
      <c r="B71" s="30" t="s">
        <v>2</v>
      </c>
      <c r="C71" s="31">
        <v>44532</v>
      </c>
      <c r="D71" s="27">
        <v>0.36319444444444443</v>
      </c>
      <c r="E71" s="17">
        <v>0.54166666666666663</v>
      </c>
      <c r="F71" s="17">
        <v>0.58333333333333337</v>
      </c>
      <c r="G71" s="27">
        <v>0.8027777777777777</v>
      </c>
      <c r="H71" s="25">
        <f>((Tabla2[[#This Row],[Salida]] -Tabla2[[#This Row],[Entrada]])-(Tabla2[[#This Row],[Fin almuerzo]]-Tabla2[[#This Row],[Inicio almuerzo]]))*24</f>
        <v>9.5499999999999972</v>
      </c>
      <c r="I71" s="25">
        <f>($H$1-Tabla2[[#This Row],[Horas trabajadas]])</f>
        <v>-4.9999999999997158E-2</v>
      </c>
      <c r="N71" s="4"/>
    </row>
    <row r="72" spans="1:14" x14ac:dyDescent="0.25">
      <c r="A72" s="23" t="s">
        <v>4</v>
      </c>
      <c r="B72" s="30" t="s">
        <v>1</v>
      </c>
      <c r="C72" s="31">
        <v>44532</v>
      </c>
      <c r="D72" s="27">
        <v>0.34583333333333338</v>
      </c>
      <c r="E72" s="17">
        <v>0.54166666666666663</v>
      </c>
      <c r="F72" s="17">
        <v>0.58333333333333337</v>
      </c>
      <c r="G72" s="27">
        <v>0.79791666666666661</v>
      </c>
      <c r="H72" s="25">
        <f>((Tabla2[[#This Row],[Salida]] -Tabla2[[#This Row],[Entrada]])-(Tabla2[[#This Row],[Fin almuerzo]]-Tabla2[[#This Row],[Inicio almuerzo]]))*24</f>
        <v>9.8499999999999961</v>
      </c>
      <c r="I72" s="25">
        <f>($H$1-Tabla2[[#This Row],[Horas trabajadas]])</f>
        <v>-0.34999999999999609</v>
      </c>
      <c r="N72" s="4"/>
    </row>
    <row r="73" spans="1:14" x14ac:dyDescent="0.25">
      <c r="A73" s="23" t="s">
        <v>6</v>
      </c>
      <c r="B73" s="30" t="s">
        <v>3</v>
      </c>
      <c r="C73" s="31">
        <v>44532</v>
      </c>
      <c r="D73" s="27">
        <v>0.38958333333333334</v>
      </c>
      <c r="E73" s="17">
        <v>0.54166666666666663</v>
      </c>
      <c r="F73" s="17">
        <v>0.58333333333333337</v>
      </c>
      <c r="G73" s="27">
        <v>0.79791666666666661</v>
      </c>
      <c r="H73" s="25">
        <f>((Tabla2[[#This Row],[Salida]] -Tabla2[[#This Row],[Entrada]])-(Tabla2[[#This Row],[Fin almuerzo]]-Tabla2[[#This Row],[Inicio almuerzo]]))*24</f>
        <v>8.7999999999999972</v>
      </c>
      <c r="I73" s="25">
        <f>($H$1-Tabla2[[#This Row],[Horas trabajadas]])</f>
        <v>0.70000000000000284</v>
      </c>
      <c r="N73" s="4"/>
    </row>
    <row r="74" spans="1:14" x14ac:dyDescent="0.25">
      <c r="A74" s="23" t="s">
        <v>7</v>
      </c>
      <c r="B74" s="30" t="s">
        <v>2</v>
      </c>
      <c r="C74" s="31">
        <v>44532</v>
      </c>
      <c r="D74" s="27">
        <v>0.38541666666666669</v>
      </c>
      <c r="E74" s="17">
        <v>0.54166666666666663</v>
      </c>
      <c r="F74" s="17">
        <v>0.58333333333333337</v>
      </c>
      <c r="G74" s="27">
        <v>0.78680555555555554</v>
      </c>
      <c r="H74" s="25">
        <f>((Tabla2[[#This Row],[Salida]] -Tabla2[[#This Row],[Entrada]])-(Tabla2[[#This Row],[Fin almuerzo]]-Tabla2[[#This Row],[Inicio almuerzo]]))*24</f>
        <v>8.6333333333333311</v>
      </c>
      <c r="I74" s="25">
        <f>($H$1-Tabla2[[#This Row],[Horas trabajadas]])</f>
        <v>0.86666666666666892</v>
      </c>
      <c r="N74" s="4"/>
    </row>
    <row r="75" spans="1:14" x14ac:dyDescent="0.25">
      <c r="A75" s="23" t="s">
        <v>8</v>
      </c>
      <c r="B75" s="30" t="s">
        <v>2</v>
      </c>
      <c r="C75" s="31">
        <v>44531</v>
      </c>
      <c r="D75" s="27">
        <v>0.36180555555555555</v>
      </c>
      <c r="E75" s="17">
        <v>0.54166666666666663</v>
      </c>
      <c r="F75" s="17">
        <v>0.58333333333333337</v>
      </c>
      <c r="G75" s="27">
        <v>0.80902777777777779</v>
      </c>
      <c r="H75" s="25">
        <f>((Tabla2[[#This Row],[Salida]] -Tabla2[[#This Row],[Entrada]])-(Tabla2[[#This Row],[Fin almuerzo]]-Tabla2[[#This Row],[Inicio almuerzo]]))*24</f>
        <v>9.7333333333333325</v>
      </c>
      <c r="I75" s="25">
        <f>($H$1-Tabla2[[#This Row],[Horas trabajadas]])</f>
        <v>-0.2333333333333325</v>
      </c>
      <c r="N75" s="4"/>
    </row>
    <row r="76" spans="1:14" x14ac:dyDescent="0.25">
      <c r="A76" s="23" t="s">
        <v>9</v>
      </c>
      <c r="B76" s="30" t="s">
        <v>2</v>
      </c>
      <c r="C76" s="31">
        <v>44531</v>
      </c>
      <c r="D76" s="27">
        <v>0.36249999999999999</v>
      </c>
      <c r="E76" s="17">
        <v>0.54166666666666663</v>
      </c>
      <c r="F76" s="17">
        <v>0.58333333333333337</v>
      </c>
      <c r="G76" s="27">
        <v>0.80902777777777779</v>
      </c>
      <c r="H76" s="25">
        <f>((Tabla2[[#This Row],[Salida]] -Tabla2[[#This Row],[Entrada]])-(Tabla2[[#This Row],[Fin almuerzo]]-Tabla2[[#This Row],[Inicio almuerzo]]))*24</f>
        <v>9.716666666666665</v>
      </c>
      <c r="I76" s="25">
        <f>($H$1-Tabla2[[#This Row],[Horas trabajadas]])</f>
        <v>-0.21666666666666501</v>
      </c>
      <c r="N76" s="4"/>
    </row>
    <row r="77" spans="1:14" x14ac:dyDescent="0.25">
      <c r="A77" s="23" t="s">
        <v>5</v>
      </c>
      <c r="B77" s="30" t="s">
        <v>0</v>
      </c>
      <c r="C77" s="31">
        <v>44531</v>
      </c>
      <c r="D77" s="27">
        <v>0.3576388888888889</v>
      </c>
      <c r="E77" s="17">
        <v>0.54166666666666663</v>
      </c>
      <c r="F77" s="17">
        <v>0.58333333333333337</v>
      </c>
      <c r="G77" s="27">
        <v>0.78749999999999998</v>
      </c>
      <c r="H77" s="40">
        <f>((Tabla2[[#This Row],[Salida]] -Tabla2[[#This Row],[Entrada]])-(Tabla2[[#This Row],[Fin almuerzo]]-Tabla2[[#This Row],[Inicio almuerzo]]))*24</f>
        <v>9.3166666666666647</v>
      </c>
      <c r="I77" s="25">
        <f>($H$1-Tabla2[[#This Row],[Horas trabajadas]])</f>
        <v>0.18333333333333535</v>
      </c>
      <c r="N77" s="4"/>
    </row>
    <row r="78" spans="1:14" x14ac:dyDescent="0.25">
      <c r="A78" s="23" t="s">
        <v>4</v>
      </c>
      <c r="B78" s="30" t="s">
        <v>1</v>
      </c>
      <c r="C78" s="31">
        <v>44531</v>
      </c>
      <c r="D78" s="27">
        <v>0.34861111111111115</v>
      </c>
      <c r="E78" s="17">
        <v>0.54166666666666663</v>
      </c>
      <c r="F78" s="17">
        <v>0.58333333333333337</v>
      </c>
      <c r="G78" s="27">
        <v>0.79652777777777783</v>
      </c>
      <c r="H78" s="25">
        <f>((Tabla2[[#This Row],[Salida]] -Tabla2[[#This Row],[Entrada]])-(Tabla2[[#This Row],[Fin almuerzo]]-Tabla2[[#This Row],[Inicio almuerzo]]))*24</f>
        <v>9.7499999999999982</v>
      </c>
      <c r="I78" s="25">
        <f>($H$1-Tabla2[[#This Row],[Horas trabajadas]])</f>
        <v>-0.24999999999999822</v>
      </c>
      <c r="N78" s="4"/>
    </row>
    <row r="79" spans="1:14" x14ac:dyDescent="0.25">
      <c r="A79" s="23" t="s">
        <v>5</v>
      </c>
      <c r="B79" s="30" t="s">
        <v>0</v>
      </c>
      <c r="C79" s="31">
        <v>44530</v>
      </c>
      <c r="D79" s="27">
        <v>0.37013888888888885</v>
      </c>
      <c r="E79" s="17">
        <v>0.54166666666666663</v>
      </c>
      <c r="F79" s="17">
        <v>0.58333333333333337</v>
      </c>
      <c r="G79" s="27">
        <v>0.79305555555555562</v>
      </c>
      <c r="H79" s="25">
        <f>((Tabla2[[#This Row],[Salida]] -Tabla2[[#This Row],[Entrada]])-(Tabla2[[#This Row],[Fin almuerzo]]-Tabla2[[#This Row],[Inicio almuerzo]]))*24</f>
        <v>9.15</v>
      </c>
      <c r="I79" s="25">
        <f>($H$1-Tabla2[[#This Row],[Horas trabajadas]])</f>
        <v>0.34999999999999964</v>
      </c>
      <c r="N79" s="4"/>
    </row>
    <row r="80" spans="1:14" x14ac:dyDescent="0.25">
      <c r="A80" s="23" t="s">
        <v>8</v>
      </c>
      <c r="B80" s="30" t="s">
        <v>2</v>
      </c>
      <c r="C80" s="31">
        <v>44530</v>
      </c>
      <c r="D80" s="27">
        <v>0.31388888888888888</v>
      </c>
      <c r="E80" s="17">
        <v>0.54166666666666663</v>
      </c>
      <c r="F80" s="17">
        <v>0.58333333333333337</v>
      </c>
      <c r="G80" s="27"/>
      <c r="H80" s="25">
        <f>((Tabla2[[#This Row],[Salida]] -Tabla2[[#This Row],[Entrada]])-(Tabla2[[#This Row],[Fin almuerzo]]-Tabla2[[#This Row],[Inicio almuerzo]]))*24</f>
        <v>-8.533333333333335</v>
      </c>
      <c r="I80" s="25">
        <f>($H$1-Tabla2[[#This Row],[Horas trabajadas]])</f>
        <v>18.033333333333335</v>
      </c>
      <c r="N80" s="4"/>
    </row>
    <row r="81" spans="1:14" x14ac:dyDescent="0.25">
      <c r="A81" s="23" t="s">
        <v>9</v>
      </c>
      <c r="B81" s="30" t="s">
        <v>2</v>
      </c>
      <c r="C81" s="31">
        <v>44530</v>
      </c>
      <c r="D81" s="27">
        <v>0.3520833333333333</v>
      </c>
      <c r="E81" s="17">
        <v>0.54166666666666663</v>
      </c>
      <c r="F81" s="17">
        <v>0.58333333333333337</v>
      </c>
      <c r="G81" s="27"/>
      <c r="H81" s="25">
        <f>((Tabla2[[#This Row],[Salida]] -Tabla2[[#This Row],[Entrada]])-(Tabla2[[#This Row],[Fin almuerzo]]-Tabla2[[#This Row],[Inicio almuerzo]]))*24</f>
        <v>-9.4500000000000011</v>
      </c>
      <c r="I81" s="25">
        <f>($H$1-Tabla2[[#This Row],[Horas trabajadas]])</f>
        <v>18.950000000000003</v>
      </c>
      <c r="N81" s="4"/>
    </row>
    <row r="82" spans="1:14" x14ac:dyDescent="0.25">
      <c r="A82" s="23" t="s">
        <v>4</v>
      </c>
      <c r="B82" s="30" t="s">
        <v>1</v>
      </c>
      <c r="C82" s="31">
        <v>44530</v>
      </c>
      <c r="D82" s="27">
        <v>0.35138888888888892</v>
      </c>
      <c r="E82" s="17">
        <v>0.54166666666666663</v>
      </c>
      <c r="F82" s="17">
        <v>0.58333333333333337</v>
      </c>
      <c r="G82" s="27">
        <v>0.79375000000000007</v>
      </c>
      <c r="H82" s="25">
        <f>((Tabla2[[#This Row],[Salida]] -Tabla2[[#This Row],[Entrada]])-(Tabla2[[#This Row],[Fin almuerzo]]-Tabla2[[#This Row],[Inicio almuerzo]]))*24</f>
        <v>9.6166666666666654</v>
      </c>
      <c r="I82" s="25">
        <f>($H$1-Tabla2[[#This Row],[Horas trabajadas]])</f>
        <v>-0.11666666666666536</v>
      </c>
      <c r="N82" s="4"/>
    </row>
    <row r="83" spans="1:14" x14ac:dyDescent="0.25">
      <c r="A83" s="23" t="s">
        <v>8</v>
      </c>
      <c r="B83" s="30" t="s">
        <v>2</v>
      </c>
      <c r="C83" s="31">
        <v>44529</v>
      </c>
      <c r="D83" s="27">
        <v>0.35833333333333334</v>
      </c>
      <c r="E83" s="17">
        <v>0.54166666666666663</v>
      </c>
      <c r="F83" s="17">
        <v>0.58333333333333337</v>
      </c>
      <c r="G83" s="27"/>
      <c r="H83" s="25">
        <f>((Tabla2[[#This Row],[Salida]] -Tabla2[[#This Row],[Entrada]])-(Tabla2[[#This Row],[Fin almuerzo]]-Tabla2[[#This Row],[Inicio almuerzo]]))*24</f>
        <v>-9.6000000000000014</v>
      </c>
      <c r="I83" s="25">
        <f>($H$1-Tabla2[[#This Row],[Horas trabajadas]])</f>
        <v>19.100000000000001</v>
      </c>
    </row>
    <row r="84" spans="1:14" x14ac:dyDescent="0.25">
      <c r="A84" s="23" t="s">
        <v>9</v>
      </c>
      <c r="B84" s="30" t="s">
        <v>2</v>
      </c>
      <c r="C84" s="31">
        <v>44529</v>
      </c>
      <c r="D84" s="27">
        <v>0.3527777777777778</v>
      </c>
      <c r="E84" s="17">
        <v>0.54166666666666663</v>
      </c>
      <c r="F84" s="17">
        <v>0.58333333333333337</v>
      </c>
      <c r="G84" s="27"/>
      <c r="H84" s="25">
        <f>((Tabla2[[#This Row],[Salida]] -Tabla2[[#This Row],[Entrada]])-(Tabla2[[#This Row],[Fin almuerzo]]-Tabla2[[#This Row],[Inicio almuerzo]]))*24</f>
        <v>-9.4666666666666686</v>
      </c>
      <c r="I84" s="25">
        <f>($H$1-Tabla2[[#This Row],[Horas trabajadas]])</f>
        <v>18.966666666666669</v>
      </c>
    </row>
    <row r="85" spans="1:14" x14ac:dyDescent="0.25">
      <c r="A85" s="23" t="s">
        <v>4</v>
      </c>
      <c r="B85" s="30" t="s">
        <v>1</v>
      </c>
      <c r="C85" s="31">
        <v>44529</v>
      </c>
      <c r="D85" s="27">
        <v>0.34375</v>
      </c>
      <c r="E85" s="17">
        <v>0.54166666666666663</v>
      </c>
      <c r="F85" s="17">
        <v>0.58333333333333337</v>
      </c>
      <c r="G85" s="27">
        <v>0.79305555555555562</v>
      </c>
      <c r="H85" s="25">
        <f>((Tabla2[[#This Row],[Salida]] -Tabla2[[#This Row],[Entrada]])-(Tabla2[[#This Row],[Fin almuerzo]]-Tabla2[[#This Row],[Inicio almuerzo]]))*24</f>
        <v>9.7833333333333332</v>
      </c>
      <c r="I85" s="25">
        <f>($H$1-Tabla2[[#This Row],[Horas trabajadas]])</f>
        <v>-0.28333333333333321</v>
      </c>
    </row>
    <row r="86" spans="1:14" x14ac:dyDescent="0.25">
      <c r="A86" s="23" t="s">
        <v>6</v>
      </c>
      <c r="B86" s="29" t="s">
        <v>3</v>
      </c>
      <c r="C86" s="28">
        <v>44526</v>
      </c>
      <c r="D86" s="17">
        <v>0.37847222222222227</v>
      </c>
      <c r="E86" s="17">
        <v>0.54166666666666663</v>
      </c>
      <c r="F86" s="17">
        <v>0.58333333333333337</v>
      </c>
      <c r="G86" s="17">
        <v>0.78333333333333333</v>
      </c>
      <c r="H86">
        <f>((Tabla2[[#This Row],[Salida]] -Tabla2[[#This Row],[Entrada]])-(Tabla2[[#This Row],[Fin almuerzo]]-Tabla2[[#This Row],[Inicio almuerzo]]))*24</f>
        <v>8.7166666666666632</v>
      </c>
      <c r="I86" s="25">
        <f>($H$1-Tabla2[[#This Row],[Horas trabajadas]])</f>
        <v>0.78333333333333677</v>
      </c>
    </row>
    <row r="87" spans="1:14" x14ac:dyDescent="0.25">
      <c r="A87" s="23" t="s">
        <v>9</v>
      </c>
      <c r="B87" s="29" t="s">
        <v>2</v>
      </c>
      <c r="C87" s="28">
        <v>44526</v>
      </c>
      <c r="D87" s="17">
        <v>0.3611111111111111</v>
      </c>
      <c r="E87" s="17">
        <v>0.54166666666666663</v>
      </c>
      <c r="F87" s="17">
        <v>0.58333333333333337</v>
      </c>
      <c r="G87" s="17">
        <v>0.79861111111111116</v>
      </c>
      <c r="H87">
        <f>((Tabla2[[#This Row],[Salida]] -Tabla2[[#This Row],[Entrada]])-(Tabla2[[#This Row],[Fin almuerzo]]-Tabla2[[#This Row],[Inicio almuerzo]]))*24</f>
        <v>9.5</v>
      </c>
      <c r="I87" s="25">
        <f>($H$1-Tabla2[[#This Row],[Horas trabajadas]])</f>
        <v>0</v>
      </c>
    </row>
    <row r="88" spans="1:14" x14ac:dyDescent="0.25">
      <c r="A88" s="23" t="s">
        <v>5</v>
      </c>
      <c r="B88" s="29" t="s">
        <v>0</v>
      </c>
      <c r="C88" s="28">
        <v>44526</v>
      </c>
      <c r="D88" s="17">
        <v>0.35972222222222222</v>
      </c>
      <c r="E88" s="17">
        <v>0.54166666666666663</v>
      </c>
      <c r="F88" s="17">
        <v>0.58333333333333337</v>
      </c>
      <c r="G88" s="17">
        <v>0.79861111111111116</v>
      </c>
      <c r="H88">
        <f>((Tabla2[[#This Row],[Salida]] -Tabla2[[#This Row],[Entrada]])-(Tabla2[[#This Row],[Fin almuerzo]]-Tabla2[[#This Row],[Inicio almuerzo]]))*24</f>
        <v>9.5333333333333332</v>
      </c>
      <c r="I88" s="25">
        <f>($H$1-Tabla2[[#This Row],[Horas trabajadas]])</f>
        <v>-3.3333333333333215E-2</v>
      </c>
    </row>
    <row r="89" spans="1:14" x14ac:dyDescent="0.25">
      <c r="A89" s="23" t="s">
        <v>8</v>
      </c>
      <c r="B89" s="29" t="s">
        <v>2</v>
      </c>
      <c r="C89" s="28">
        <v>44526</v>
      </c>
      <c r="D89" s="17">
        <v>0.3576388888888889</v>
      </c>
      <c r="E89" s="17">
        <v>0.54166666666666663</v>
      </c>
      <c r="F89" s="17">
        <v>0.58333333333333337</v>
      </c>
      <c r="G89" s="17">
        <v>0.79861111111111116</v>
      </c>
      <c r="H89">
        <f>((Tabla2[[#This Row],[Salida]] -Tabla2[[#This Row],[Entrada]])-(Tabla2[[#This Row],[Fin almuerzo]]-Tabla2[[#This Row],[Inicio almuerzo]]))*24</f>
        <v>9.5833333333333321</v>
      </c>
      <c r="I89" s="25">
        <f>($H$1-Tabla2[[#This Row],[Horas trabajadas]])</f>
        <v>-8.3333333333332149E-2</v>
      </c>
    </row>
    <row r="90" spans="1:14" x14ac:dyDescent="0.25">
      <c r="A90" s="23" t="s">
        <v>4</v>
      </c>
      <c r="B90" s="29" t="s">
        <v>1</v>
      </c>
      <c r="C90" s="28">
        <v>44526</v>
      </c>
      <c r="D90" s="17">
        <v>0.35000000000000003</v>
      </c>
      <c r="E90" s="17">
        <v>0.54166666666666663</v>
      </c>
      <c r="F90" s="17">
        <v>0.58333333333333337</v>
      </c>
      <c r="G90" s="17">
        <v>0.79236111111111107</v>
      </c>
      <c r="H90">
        <f>((Tabla2[[#This Row],[Salida]] -Tabla2[[#This Row],[Entrada]])-(Tabla2[[#This Row],[Fin almuerzo]]-Tabla2[[#This Row],[Inicio almuerzo]]))*24</f>
        <v>9.6166666666666636</v>
      </c>
      <c r="I90" s="25">
        <f>($H$1-Tabla2[[#This Row],[Horas trabajadas]])</f>
        <v>-0.11666666666666359</v>
      </c>
    </row>
    <row r="91" spans="1:14" x14ac:dyDescent="0.25">
      <c r="A91" s="23" t="s">
        <v>4</v>
      </c>
      <c r="B91" s="29" t="s">
        <v>1</v>
      </c>
      <c r="C91" s="28">
        <v>44525</v>
      </c>
      <c r="D91" s="17">
        <v>0.34375</v>
      </c>
      <c r="E91" s="17">
        <v>0.54166666666666663</v>
      </c>
      <c r="F91" s="17">
        <v>0.58333333333333337</v>
      </c>
      <c r="G91" s="17">
        <v>0.79375000000000007</v>
      </c>
      <c r="H91">
        <f>((Tabla2[[#This Row],[Salida]] -Tabla2[[#This Row],[Entrada]])-(Tabla2[[#This Row],[Fin almuerzo]]-Tabla2[[#This Row],[Inicio almuerzo]]))*24</f>
        <v>9.8000000000000007</v>
      </c>
      <c r="I91" s="25">
        <f>($H$1-Tabla2[[#This Row],[Horas trabajadas]])</f>
        <v>-0.30000000000000071</v>
      </c>
    </row>
    <row r="92" spans="1:14" x14ac:dyDescent="0.25">
      <c r="A92" s="23" t="s">
        <v>5</v>
      </c>
      <c r="B92" s="29" t="s">
        <v>0</v>
      </c>
      <c r="C92" s="28">
        <v>44525</v>
      </c>
      <c r="D92" s="17">
        <v>0.34722222222222227</v>
      </c>
      <c r="E92" s="17">
        <v>0.54166666666666663</v>
      </c>
      <c r="F92" s="17">
        <v>0.58333333333333337</v>
      </c>
      <c r="G92" s="17">
        <v>0.78749999999999998</v>
      </c>
      <c r="H92">
        <f>((Tabla2[[#This Row],[Salida]] -Tabla2[[#This Row],[Entrada]])-(Tabla2[[#This Row],[Fin almuerzo]]-Tabla2[[#This Row],[Inicio almuerzo]]))*24</f>
        <v>9.5666666666666629</v>
      </c>
      <c r="I92" s="25">
        <f>($H$1-Tabla2[[#This Row],[Horas trabajadas]])</f>
        <v>-6.6666666666662877E-2</v>
      </c>
    </row>
    <row r="93" spans="1:14" x14ac:dyDescent="0.25">
      <c r="A93" s="23" t="s">
        <v>6</v>
      </c>
      <c r="B93" s="29" t="s">
        <v>3</v>
      </c>
      <c r="C93" s="28">
        <v>44525</v>
      </c>
      <c r="D93" s="17">
        <v>0.39027777777777778</v>
      </c>
      <c r="E93" s="17">
        <v>0.54166666666666663</v>
      </c>
      <c r="F93" s="17">
        <v>0.58333333333333337</v>
      </c>
      <c r="G93" s="17">
        <v>0.76041666666666663</v>
      </c>
      <c r="H93">
        <f>((Tabla2[[#This Row],[Salida]] -Tabla2[[#This Row],[Entrada]])-(Tabla2[[#This Row],[Fin almuerzo]]-Tabla2[[#This Row],[Inicio almuerzo]]))*24</f>
        <v>7.8833333333333311</v>
      </c>
      <c r="I93" s="25">
        <f>($H$1-Tabla2[[#This Row],[Horas trabajadas]])</f>
        <v>1.6166666666666689</v>
      </c>
    </row>
    <row r="94" spans="1:14" x14ac:dyDescent="0.25">
      <c r="A94" s="23" t="s">
        <v>7</v>
      </c>
      <c r="B94" s="29" t="s">
        <v>2</v>
      </c>
      <c r="C94" s="28">
        <v>44525</v>
      </c>
      <c r="D94" s="17">
        <v>0.38611111111111113</v>
      </c>
      <c r="E94" s="17">
        <v>0.54166666666666663</v>
      </c>
      <c r="F94" s="17">
        <v>0.58333333333333337</v>
      </c>
      <c r="G94" s="17">
        <v>0.77986111111111101</v>
      </c>
      <c r="H94">
        <f>((Tabla2[[#This Row],[Salida]] -Tabla2[[#This Row],[Entrada]])-(Tabla2[[#This Row],[Fin almuerzo]]-Tabla2[[#This Row],[Inicio almuerzo]]))*24</f>
        <v>8.4499999999999957</v>
      </c>
      <c r="I94" s="25">
        <f>($H$1-Tabla2[[#This Row],[Horas trabajadas]])</f>
        <v>1.0500000000000043</v>
      </c>
    </row>
    <row r="95" spans="1:14" x14ac:dyDescent="0.25">
      <c r="A95" s="23" t="s">
        <v>8</v>
      </c>
      <c r="B95" s="29" t="s">
        <v>2</v>
      </c>
      <c r="C95" s="28">
        <v>44525</v>
      </c>
      <c r="D95" s="17">
        <v>0.37708333333333338</v>
      </c>
      <c r="E95" s="17">
        <v>0.54166666666666663</v>
      </c>
      <c r="F95" s="17">
        <v>0.58333333333333337</v>
      </c>
      <c r="G95" s="17">
        <v>0.79166666666666663</v>
      </c>
      <c r="H95">
        <f>(Tabla2[[#This Row],[Salida]]-Tabla2[[#This Row],[Entrada]])-(Tabla2[[#This Row],[Fin almuerzo]]-Tabla2[[#This Row],[Inicio almuerzo]])</f>
        <v>0.37291666666666651</v>
      </c>
      <c r="I95" s="25">
        <f>($H$1-Tabla2[[#This Row],[Horas trabajadas]])</f>
        <v>9.1270833333333332</v>
      </c>
    </row>
    <row r="99" spans="14:14" x14ac:dyDescent="0.25">
      <c r="N99" s="11"/>
    </row>
  </sheetData>
  <conditionalFormatting sqref="D3:D95">
    <cfRule type="cellIs" dxfId="42" priority="4" operator="between">
      <formula>$F$2</formula>
      <formula>$E$2</formula>
    </cfRule>
    <cfRule type="cellIs" dxfId="41" priority="5" operator="greaterThan">
      <formula>$E$2</formula>
    </cfRule>
    <cfRule type="cellIs" dxfId="40" priority="6" operator="lessThanOrEqual">
      <formula>$D$2</formula>
    </cfRule>
  </conditionalFormatting>
  <conditionalFormatting sqref="H3:H95">
    <cfRule type="cellIs" dxfId="39" priority="8" operator="lessThan">
      <formula>9.5</formula>
    </cfRule>
  </conditionalFormatting>
  <conditionalFormatting sqref="H4:H95">
    <cfRule type="cellIs" dxfId="38" priority="7" operator="greaterThanOrEqual">
      <formula>$H$1</formula>
    </cfRule>
  </conditionalFormatting>
  <conditionalFormatting sqref="I3:I95">
    <cfRule type="cellIs" dxfId="37" priority="1" operator="equal">
      <formula>$I$2</formula>
    </cfRule>
    <cfRule type="cellIs" dxfId="36" priority="2" operator="greaterThan">
      <formula>$I$2</formula>
    </cfRule>
  </conditionalFormatting>
  <conditionalFormatting sqref="I4:I95">
    <cfRule type="cellIs" dxfId="35" priority="3" operator="greaterThanOrEqual">
      <formula>$I$2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13C21-6FCA-416D-8D43-DC3B03BF141F}">
  <sheetPr codeName="Sheet1"/>
  <dimension ref="A2:I23"/>
  <sheetViews>
    <sheetView workbookViewId="0">
      <selection activeCell="B10" sqref="B10"/>
    </sheetView>
  </sheetViews>
  <sheetFormatPr baseColWidth="10" defaultColWidth="9" defaultRowHeight="15.75" x14ac:dyDescent="0.25"/>
  <cols>
    <col min="1" max="1" width="18.5" bestFit="1" customWidth="1"/>
    <col min="2" max="2" width="31.25" customWidth="1"/>
  </cols>
  <sheetData>
    <row r="2" spans="1:9" x14ac:dyDescent="0.25">
      <c r="A2" s="3" t="s">
        <v>148</v>
      </c>
      <c r="B2" s="68"/>
    </row>
    <row r="3" spans="1:9" x14ac:dyDescent="0.25">
      <c r="A3" s="3" t="s">
        <v>147</v>
      </c>
      <c r="B3" s="68"/>
      <c r="D3" s="62"/>
      <c r="E3" s="63"/>
      <c r="F3" s="63"/>
      <c r="G3" s="63"/>
      <c r="H3" s="63"/>
      <c r="I3" s="47"/>
    </row>
    <row r="4" spans="1:9" x14ac:dyDescent="0.25">
      <c r="A4" s="3" t="s">
        <v>154</v>
      </c>
      <c r="B4" s="68"/>
      <c r="D4" s="62"/>
      <c r="E4" s="63"/>
      <c r="F4" s="63"/>
      <c r="G4" s="63"/>
      <c r="H4" s="63"/>
      <c r="I4" s="47"/>
    </row>
    <row r="5" spans="1:9" x14ac:dyDescent="0.25">
      <c r="A5" s="3" t="s">
        <v>149</v>
      </c>
      <c r="B5" s="68"/>
      <c r="D5" s="62"/>
      <c r="E5" s="63"/>
      <c r="F5" s="63"/>
      <c r="G5" s="63"/>
      <c r="H5" s="63"/>
      <c r="I5" s="57"/>
    </row>
    <row r="6" spans="1:9" x14ac:dyDescent="0.25">
      <c r="A6" s="3" t="s">
        <v>150</v>
      </c>
      <c r="B6" s="68"/>
      <c r="D6" s="62"/>
      <c r="E6" s="63"/>
      <c r="F6" s="63"/>
      <c r="G6" s="63"/>
      <c r="H6" s="63"/>
    </row>
    <row r="7" spans="1:9" x14ac:dyDescent="0.25">
      <c r="A7" s="3" t="s">
        <v>151</v>
      </c>
      <c r="B7" s="68"/>
      <c r="D7" s="62"/>
      <c r="E7" s="63"/>
      <c r="F7" s="63"/>
      <c r="G7" s="63"/>
      <c r="H7" s="63"/>
    </row>
    <row r="8" spans="1:9" x14ac:dyDescent="0.25">
      <c r="A8" s="3" t="s">
        <v>152</v>
      </c>
      <c r="B8" s="72"/>
      <c r="D8" s="62"/>
      <c r="E8" s="63"/>
      <c r="F8" s="63"/>
      <c r="G8" s="63"/>
      <c r="H8" s="63"/>
    </row>
    <row r="9" spans="1:9" x14ac:dyDescent="0.25">
      <c r="A9" s="3"/>
      <c r="B9" s="29"/>
      <c r="D9" s="62"/>
      <c r="E9" s="63"/>
      <c r="F9" s="63"/>
      <c r="G9" s="63"/>
      <c r="H9" s="63"/>
    </row>
    <row r="10" spans="1:9" x14ac:dyDescent="0.25">
      <c r="A10" s="3" t="s">
        <v>153</v>
      </c>
      <c r="B10" s="69"/>
      <c r="D10" s="62"/>
      <c r="E10" s="63"/>
      <c r="F10" s="63"/>
      <c r="G10" s="63"/>
      <c r="H10" s="63"/>
    </row>
    <row r="11" spans="1:9" x14ac:dyDescent="0.25">
      <c r="A11" s="3" t="s">
        <v>156</v>
      </c>
      <c r="B11" s="53"/>
      <c r="D11" s="62"/>
      <c r="E11" s="63"/>
      <c r="F11" s="63"/>
      <c r="G11" s="63"/>
      <c r="H11" s="63"/>
    </row>
    <row r="12" spans="1:9" x14ac:dyDescent="0.25">
      <c r="A12" s="3" t="s">
        <v>157</v>
      </c>
      <c r="B12" s="53"/>
      <c r="D12" s="62"/>
      <c r="E12" s="63"/>
      <c r="F12" s="63"/>
      <c r="G12" s="63"/>
      <c r="H12" s="63"/>
    </row>
    <row r="13" spans="1:9" x14ac:dyDescent="0.25">
      <c r="A13" s="3" t="s">
        <v>155</v>
      </c>
      <c r="B13" s="4"/>
      <c r="D13" s="62"/>
      <c r="E13" s="63"/>
      <c r="F13" s="63"/>
      <c r="G13" s="63"/>
      <c r="H13" s="63"/>
    </row>
    <row r="14" spans="1:9" x14ac:dyDescent="0.25">
      <c r="B14" s="53"/>
      <c r="D14" s="62"/>
      <c r="E14" s="63"/>
      <c r="F14" s="63"/>
      <c r="G14" s="63"/>
      <c r="H14" s="63"/>
    </row>
    <row r="15" spans="1:9" x14ac:dyDescent="0.25">
      <c r="B15" s="29"/>
      <c r="D15" s="62"/>
      <c r="E15" s="63"/>
      <c r="F15" s="63"/>
      <c r="G15" s="63"/>
      <c r="H15" s="63"/>
    </row>
    <row r="16" spans="1:9" x14ac:dyDescent="0.25">
      <c r="D16" s="62"/>
      <c r="E16" s="63"/>
      <c r="F16" s="63"/>
      <c r="G16" s="63"/>
      <c r="H16" s="63"/>
    </row>
    <row r="17" spans="4:8" x14ac:dyDescent="0.25">
      <c r="D17" s="62"/>
      <c r="E17" s="63"/>
      <c r="F17" s="63"/>
      <c r="G17" s="63"/>
      <c r="H17" s="63"/>
    </row>
    <row r="18" spans="4:8" x14ac:dyDescent="0.25">
      <c r="D18" s="62"/>
      <c r="E18" s="63"/>
      <c r="F18" s="63"/>
      <c r="G18" s="63"/>
      <c r="H18" s="63"/>
    </row>
    <row r="19" spans="4:8" x14ac:dyDescent="0.25">
      <c r="D19" s="62"/>
      <c r="E19" s="63"/>
      <c r="F19" s="63"/>
      <c r="G19" s="63"/>
      <c r="H19" s="63"/>
    </row>
    <row r="20" spans="4:8" x14ac:dyDescent="0.25">
      <c r="D20" s="62"/>
      <c r="E20" s="63"/>
      <c r="F20" s="63"/>
      <c r="G20" s="63"/>
      <c r="H20" s="63"/>
    </row>
    <row r="21" spans="4:8" x14ac:dyDescent="0.25">
      <c r="D21" s="62"/>
      <c r="E21" s="63"/>
      <c r="F21" s="63"/>
      <c r="G21" s="63"/>
      <c r="H21" s="63"/>
    </row>
    <row r="22" spans="4:8" x14ac:dyDescent="0.25">
      <c r="D22" s="62"/>
      <c r="E22" s="63"/>
      <c r="F22" s="63"/>
      <c r="G22" s="63"/>
      <c r="H22" s="63"/>
    </row>
    <row r="23" spans="4:8" x14ac:dyDescent="0.25">
      <c r="D23" s="62"/>
      <c r="E23" s="63"/>
      <c r="F23" s="63"/>
      <c r="G23" s="63"/>
      <c r="H23" s="63"/>
    </row>
  </sheetData>
  <conditionalFormatting sqref="F3:H3 F4 H4 G5:H5 F6 H6">
    <cfRule type="cellIs" dxfId="24" priority="1" operator="equal">
      <formula>"Feriado"</formula>
    </cfRule>
    <cfRule type="cellIs" dxfId="23" priority="2" operator="equal">
      <formula>"Vacaciones"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btnGuardar">
          <controlPr defaultSize="0" autoLine="0" r:id="rId5">
            <anchor moveWithCells="1">
              <from>
                <xdr:col>0</xdr:col>
                <xdr:colOff>342900</xdr:colOff>
                <xdr:row>13</xdr:row>
                <xdr:rowOff>161925</xdr:rowOff>
              </from>
              <to>
                <xdr:col>1</xdr:col>
                <xdr:colOff>323850</xdr:colOff>
                <xdr:row>16</xdr:row>
                <xdr:rowOff>142875</xdr:rowOff>
              </to>
            </anchor>
          </controlPr>
        </control>
      </mc:Choice>
      <mc:Fallback>
        <control shapeId="4100" r:id="rId4" name="btnGuardar"/>
      </mc:Fallback>
    </mc:AlternateContent>
    <mc:AlternateContent xmlns:mc="http://schemas.openxmlformats.org/markup-compatibility/2006">
      <mc:Choice Requires="x14">
        <control shapeId="4098" r:id="rId6" name="btnBoleta">
          <controlPr defaultSize="0" autoLine="0" r:id="rId7">
            <anchor moveWithCells="1">
              <from>
                <xdr:col>2</xdr:col>
                <xdr:colOff>609600</xdr:colOff>
                <xdr:row>13</xdr:row>
                <xdr:rowOff>123825</xdr:rowOff>
              </from>
              <to>
                <xdr:col>4</xdr:col>
                <xdr:colOff>628650</xdr:colOff>
                <xdr:row>16</xdr:row>
                <xdr:rowOff>104775</xdr:rowOff>
              </to>
            </anchor>
          </controlPr>
        </control>
      </mc:Choice>
      <mc:Fallback>
        <control shapeId="4098" r:id="rId6" name="btnBoleta"/>
      </mc:Fallback>
    </mc:AlternateContent>
    <mc:AlternateContent xmlns:mc="http://schemas.openxmlformats.org/markup-compatibility/2006">
      <mc:Choice Requires="x14">
        <control shapeId="4097" r:id="rId8" name="btnReporte">
          <controlPr defaultSize="0" autoLine="0" r:id="rId9">
            <anchor moveWithCells="1">
              <from>
                <xdr:col>1</xdr:col>
                <xdr:colOff>1438275</xdr:colOff>
                <xdr:row>13</xdr:row>
                <xdr:rowOff>142875</xdr:rowOff>
              </from>
              <to>
                <xdr:col>2</xdr:col>
                <xdr:colOff>447675</xdr:colOff>
                <xdr:row>16</xdr:row>
                <xdr:rowOff>123825</xdr:rowOff>
              </to>
            </anchor>
          </controlPr>
        </control>
      </mc:Choice>
      <mc:Fallback>
        <control shapeId="4097" r:id="rId8" name="btnRepor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C1BF-D1B2-47A6-9920-AD4C743E36FB}">
  <sheetPr codeName="Hoja3"/>
  <dimension ref="A1:L58"/>
  <sheetViews>
    <sheetView tabSelected="1" view="pageBreakPreview" topLeftCell="A35" zoomScaleNormal="100" zoomScaleSheetLayoutView="100" workbookViewId="0">
      <selection activeCell="H37" sqref="H37"/>
    </sheetView>
  </sheetViews>
  <sheetFormatPr baseColWidth="10" defaultColWidth="11" defaultRowHeight="15.75" x14ac:dyDescent="0.25"/>
  <cols>
    <col min="10" max="10" width="9.75" customWidth="1"/>
  </cols>
  <sheetData>
    <row r="1" spans="1:10" x14ac:dyDescent="0.25">
      <c r="A1" s="35"/>
      <c r="B1" s="39"/>
      <c r="C1" s="136" t="s">
        <v>139</v>
      </c>
      <c r="D1" s="137"/>
      <c r="E1" s="137"/>
      <c r="F1" s="137"/>
      <c r="G1" s="138"/>
      <c r="H1" s="132" t="s">
        <v>140</v>
      </c>
      <c r="I1" s="133"/>
    </row>
    <row r="2" spans="1:10" x14ac:dyDescent="0.25">
      <c r="A2" s="37"/>
      <c r="C2" s="139"/>
      <c r="D2" s="140"/>
      <c r="E2" s="140"/>
      <c r="F2" s="140"/>
      <c r="G2" s="141"/>
      <c r="H2" s="134"/>
      <c r="I2" s="135"/>
    </row>
    <row r="3" spans="1:10" x14ac:dyDescent="0.25">
      <c r="A3" s="37"/>
      <c r="C3" s="145" t="str">
        <f>"DEL " &amp;TEXT(Datos!B11,"dd/mm/yyyy")&amp;" AL " &amp;TEXT(Datos!B12,"dd/mm/yyyy")</f>
        <v>DEL 00/01/1900 AL 00/01/1900</v>
      </c>
      <c r="D3" s="146"/>
      <c r="E3" s="146"/>
      <c r="F3" s="146"/>
      <c r="G3" s="147"/>
      <c r="H3" s="132" t="s">
        <v>141</v>
      </c>
      <c r="I3" s="133"/>
    </row>
    <row r="4" spans="1:10" x14ac:dyDescent="0.25">
      <c r="A4" s="36"/>
      <c r="B4" s="38"/>
      <c r="C4" s="148"/>
      <c r="D4" s="149"/>
      <c r="E4" s="149"/>
      <c r="F4" s="149"/>
      <c r="G4" s="150"/>
      <c r="H4" s="134"/>
      <c r="I4" s="135"/>
    </row>
    <row r="6" spans="1:10" x14ac:dyDescent="0.25">
      <c r="A6" s="44" t="s">
        <v>92</v>
      </c>
      <c r="B6" s="142" t="s">
        <v>123</v>
      </c>
      <c r="C6" s="142"/>
      <c r="D6" s="142"/>
      <c r="E6" s="142"/>
      <c r="F6" s="64" t="s">
        <v>164</v>
      </c>
      <c r="G6" s="64" t="s">
        <v>170</v>
      </c>
      <c r="H6" s="143" t="s">
        <v>135</v>
      </c>
      <c r="I6" s="144"/>
    </row>
    <row r="7" spans="1:10" x14ac:dyDescent="0.25">
      <c r="A7" s="24">
        <f>Datos!B2</f>
        <v>0</v>
      </c>
      <c r="B7" s="129">
        <f>Datos!B3</f>
        <v>0</v>
      </c>
      <c r="C7" s="130"/>
      <c r="D7" s="130"/>
      <c r="E7" s="131"/>
      <c r="F7" s="60">
        <v>20</v>
      </c>
      <c r="G7" s="66">
        <v>0.34375</v>
      </c>
      <c r="H7" s="127">
        <f>G10*F7</f>
        <v>8.0555555555555571</v>
      </c>
      <c r="I7" s="128"/>
    </row>
    <row r="9" spans="1:10" x14ac:dyDescent="0.25">
      <c r="A9" s="3"/>
      <c r="B9" s="3"/>
      <c r="C9" s="54" t="s">
        <v>167</v>
      </c>
      <c r="D9" s="54" t="s">
        <v>42</v>
      </c>
      <c r="E9" s="54" t="s">
        <v>168</v>
      </c>
      <c r="F9" s="54" t="s">
        <v>43</v>
      </c>
      <c r="G9" s="54" t="s">
        <v>169</v>
      </c>
      <c r="H9" s="3"/>
      <c r="I9" s="3"/>
      <c r="J9" s="47"/>
    </row>
    <row r="10" spans="1:10" x14ac:dyDescent="0.25">
      <c r="A10" s="47"/>
      <c r="C10" t="s">
        <v>171</v>
      </c>
      <c r="D10" s="47">
        <v>0.33333333333333331</v>
      </c>
      <c r="E10" s="47">
        <v>3.4722222222222224E-2</v>
      </c>
      <c r="F10" s="47">
        <v>0.77083333333333337</v>
      </c>
      <c r="G10" s="57">
        <f t="shared" ref="G10:G13" si="0">F10-D10-E10</f>
        <v>0.40277777777777785</v>
      </c>
      <c r="H10" s="58"/>
      <c r="I10" s="47"/>
    </row>
    <row r="11" spans="1:10" x14ac:dyDescent="0.25">
      <c r="C11" t="s">
        <v>172</v>
      </c>
      <c r="D11" s="47">
        <v>0.33333333333333331</v>
      </c>
      <c r="E11" s="47">
        <v>3.4722222222222224E-2</v>
      </c>
      <c r="F11" s="47">
        <v>0.77083333333333337</v>
      </c>
      <c r="G11" s="57">
        <f t="shared" si="0"/>
        <v>0.40277777777777785</v>
      </c>
    </row>
    <row r="12" spans="1:10" x14ac:dyDescent="0.25">
      <c r="C12" t="s">
        <v>173</v>
      </c>
      <c r="D12" s="47">
        <v>0.33333333333333298</v>
      </c>
      <c r="E12" s="47">
        <v>3.4722222222222203E-2</v>
      </c>
      <c r="F12" s="47">
        <v>0.77083333333333304</v>
      </c>
      <c r="G12" s="57">
        <f t="shared" si="0"/>
        <v>0.40277777777777785</v>
      </c>
    </row>
    <row r="13" spans="1:10" x14ac:dyDescent="0.25">
      <c r="C13" t="s">
        <v>174</v>
      </c>
      <c r="D13" s="47">
        <v>0.33333333333333298</v>
      </c>
      <c r="E13" s="47">
        <v>3.4722222222222203E-2</v>
      </c>
      <c r="F13" s="47">
        <v>0.77083333333333304</v>
      </c>
      <c r="G13" s="57">
        <f t="shared" si="0"/>
        <v>0.40277777777777785</v>
      </c>
    </row>
    <row r="14" spans="1:10" x14ac:dyDescent="0.25">
      <c r="C14" t="s">
        <v>175</v>
      </c>
      <c r="D14" s="47">
        <v>0.33333333333333298</v>
      </c>
      <c r="E14" s="47">
        <v>3.4722222222222203E-2</v>
      </c>
      <c r="F14" s="47">
        <v>0.77083333333333304</v>
      </c>
      <c r="G14" s="57">
        <f>F14-D14-E14</f>
        <v>0.40277777777777785</v>
      </c>
    </row>
    <row r="15" spans="1:10" x14ac:dyDescent="0.25">
      <c r="D15" s="47"/>
      <c r="E15" s="47"/>
      <c r="F15" s="47"/>
      <c r="G15" s="61">
        <f>SUM(Table3[Total])</f>
        <v>2.0138888888888893</v>
      </c>
    </row>
    <row r="16" spans="1:10" x14ac:dyDescent="0.25">
      <c r="D16" s="47"/>
      <c r="E16" s="47"/>
      <c r="F16" s="47"/>
      <c r="G16" s="57"/>
    </row>
    <row r="18" spans="2:8" x14ac:dyDescent="0.25">
      <c r="B18" s="54" t="s">
        <v>126</v>
      </c>
      <c r="C18" s="54" t="s">
        <v>127</v>
      </c>
      <c r="D18" s="56" t="s">
        <v>128</v>
      </c>
      <c r="E18" s="56" t="s">
        <v>129</v>
      </c>
      <c r="F18" s="56" t="s">
        <v>132</v>
      </c>
      <c r="G18" s="56" t="s">
        <v>131</v>
      </c>
      <c r="H18" s="56" t="s">
        <v>130</v>
      </c>
    </row>
    <row r="19" spans="2:8" x14ac:dyDescent="0.25">
      <c r="B19" s="88" t="str">
        <f>TEXT(Tabla8[[#This Row],[FECHA]],"dddd")</f>
        <v>sábado</v>
      </c>
      <c r="C19" s="89">
        <v>45962</v>
      </c>
      <c r="D19" s="52"/>
      <c r="E19" s="87"/>
      <c r="F19" s="87"/>
      <c r="G19" s="91"/>
      <c r="H19" s="90">
        <f>IF(Tabla8[[#This Row],[ENTRADA]]&gt;G$7,F$10-E$10-Tabla8[[#This Row],[ENTRADA]],IF(Tabla8[[#This Row],[SALIDA]]&lt;F$10,Tabla8[[#This Row],[SALIDA]]-E$10-D$10,G$10))</f>
        <v>-0.36805555555555552</v>
      </c>
    </row>
    <row r="20" spans="2:8" x14ac:dyDescent="0.25">
      <c r="B20" s="88" t="str">
        <f>TEXT(Tabla8[[#This Row],[FECHA]],"dddd")</f>
        <v>domingo</v>
      </c>
      <c r="C20" s="89">
        <v>45963</v>
      </c>
      <c r="D20" s="52"/>
      <c r="E20" s="87"/>
      <c r="F20" s="87"/>
      <c r="G20" s="91"/>
      <c r="H20" s="90">
        <f>IF(Tabla8[[#This Row],[ENTRADA]]&gt;G$7,F$10-E$10-Tabla8[[#This Row],[ENTRADA]],IF(Tabla8[[#This Row],[SALIDA]]&lt;F$10,Tabla8[[#This Row],[SALIDA]]-E$10-D$10,G$10))</f>
        <v>-0.36805555555555552</v>
      </c>
    </row>
    <row r="21" spans="2:8" x14ac:dyDescent="0.25">
      <c r="B21" s="88" t="str">
        <f>TEXT(Tabla8[[#This Row],[FECHA]],"dddd")</f>
        <v>lunes</v>
      </c>
      <c r="C21" s="89">
        <v>45964</v>
      </c>
      <c r="D21" s="52"/>
      <c r="E21" s="87"/>
      <c r="F21" s="87"/>
      <c r="G21" s="91"/>
      <c r="H21" s="90">
        <f>IF(Tabla8[[#This Row],[ENTRADA]]&gt;G$7,F$10-E$10-Tabla8[[#This Row],[ENTRADA]],IF(Tabla8[[#This Row],[SALIDA]]&lt;F$10,Tabla8[[#This Row],[SALIDA]]-E$10-D$10,G$10))</f>
        <v>-0.36805555555555552</v>
      </c>
    </row>
    <row r="22" spans="2:8" x14ac:dyDescent="0.25">
      <c r="B22" s="88" t="str">
        <f>TEXT(Tabla8[[#This Row],[FECHA]],"dddd")</f>
        <v>martes</v>
      </c>
      <c r="C22" s="89">
        <v>45965</v>
      </c>
      <c r="D22" s="52">
        <v>0.6020833333333333</v>
      </c>
      <c r="E22" s="87">
        <v>0.77986111111111101</v>
      </c>
      <c r="F22" s="87"/>
      <c r="G22" s="91"/>
      <c r="H22" s="90">
        <f>IF(Tabla8[[#This Row],[ENTRADA]]&gt;G$7,F$10-E$10-Tabla8[[#This Row],[ENTRADA]],IF(Tabla8[[#This Row],[SALIDA]]&lt;F$10,Tabla8[[#This Row],[SALIDA]]-E$10-D$10,G$10))</f>
        <v>0.13402777777777786</v>
      </c>
    </row>
    <row r="23" spans="2:8" x14ac:dyDescent="0.25">
      <c r="B23" s="88" t="str">
        <f>TEXT(Tabla8[[#This Row],[FECHA]],"dddd")</f>
        <v>miércoles</v>
      </c>
      <c r="C23" s="89">
        <v>45966</v>
      </c>
      <c r="D23" s="52">
        <v>0.31041666666666667</v>
      </c>
      <c r="E23" s="87">
        <v>0.54166666666666663</v>
      </c>
      <c r="F23" s="87">
        <v>0.57638888888888895</v>
      </c>
      <c r="G23" s="91">
        <v>0.78541666666666676</v>
      </c>
      <c r="H23" s="90">
        <f>IF(Tabla8[[#This Row],[ENTRADA]]&gt;G$7,F$10-E$10-Tabla8[[#This Row],[ENTRADA]],IF(Tabla8[[#This Row],[SALIDA]]&lt;F$10,Tabla8[[#This Row],[SALIDA]]-E$10-D$10,G$10))</f>
        <v>0.40277777777777785</v>
      </c>
    </row>
    <row r="24" spans="2:8" x14ac:dyDescent="0.25">
      <c r="B24" s="88" t="str">
        <f>TEXT(Tabla8[[#This Row],[FECHA]],"dddd")</f>
        <v>jueves</v>
      </c>
      <c r="C24" s="89">
        <v>45967</v>
      </c>
      <c r="D24" s="52">
        <v>0.31527777777777777</v>
      </c>
      <c r="E24" s="87">
        <v>0.54236111111111118</v>
      </c>
      <c r="F24" s="87">
        <v>0.57708333333333328</v>
      </c>
      <c r="G24" s="91">
        <v>0.7729166666666667</v>
      </c>
      <c r="H24" s="90">
        <f>IF(Tabla8[[#This Row],[ENTRADA]]&gt;G$7,F$10-E$10-Tabla8[[#This Row],[ENTRADA]],IF(Tabla8[[#This Row],[SALIDA]]&lt;F$10,Tabla8[[#This Row],[SALIDA]]-E$10-D$10,G$10))</f>
        <v>0.40277777777777785</v>
      </c>
    </row>
    <row r="25" spans="2:8" x14ac:dyDescent="0.25">
      <c r="B25" s="88" t="str">
        <f>TEXT(Tabla8[[#This Row],[FECHA]],"dddd")</f>
        <v>viernes</v>
      </c>
      <c r="C25" s="89">
        <v>45968</v>
      </c>
      <c r="D25" s="52">
        <v>0.31805555555555554</v>
      </c>
      <c r="E25" s="87">
        <v>0.54236111111111118</v>
      </c>
      <c r="F25" s="87">
        <v>0.57777777777777783</v>
      </c>
      <c r="G25" s="91">
        <v>0.7715277777777777</v>
      </c>
      <c r="H25" s="90">
        <f>IF(Tabla8[[#This Row],[ENTRADA]]&gt;G$7,F$10-E$10-Tabla8[[#This Row],[ENTRADA]],IF(Tabla8[[#This Row],[SALIDA]]&lt;F$10,Tabla8[[#This Row],[SALIDA]]-E$10-D$10,G$10))</f>
        <v>0.40277777777777785</v>
      </c>
    </row>
    <row r="26" spans="2:8" x14ac:dyDescent="0.25">
      <c r="B26" s="88" t="str">
        <f>TEXT(Tabla8[[#This Row],[FECHA]],"dddd")</f>
        <v>sábado</v>
      </c>
      <c r="C26" s="89">
        <v>45969</v>
      </c>
      <c r="D26" s="52">
        <v>0.31041666666666667</v>
      </c>
      <c r="E26" s="87">
        <v>0.54583333333333328</v>
      </c>
      <c r="F26" s="87"/>
      <c r="G26" s="91"/>
      <c r="H26" s="90"/>
    </row>
    <row r="27" spans="2:8" x14ac:dyDescent="0.25">
      <c r="B27" s="55" t="str">
        <f>TEXT(Tabla8[[#This Row],[FECHA]],"dddd")</f>
        <v>domingo</v>
      </c>
      <c r="C27" s="62">
        <v>45970</v>
      </c>
      <c r="D27" s="67"/>
      <c r="E27" s="67"/>
      <c r="F27" s="83"/>
      <c r="G27" s="67"/>
      <c r="H27" s="52"/>
    </row>
    <row r="28" spans="2:8" x14ac:dyDescent="0.25">
      <c r="B28" s="55" t="str">
        <f>TEXT(Tabla8[[#This Row],[FECHA]],"dddd")</f>
        <v>lunes</v>
      </c>
      <c r="C28" s="62">
        <v>45971</v>
      </c>
      <c r="D28" s="67"/>
      <c r="E28" s="67"/>
      <c r="F28" s="67"/>
      <c r="G28" s="67"/>
      <c r="H28" s="52">
        <f>IF(Tabla8[[#This Row],[ENTRADA]]&gt;G$7,F$10-E$10-Tabla8[[#This Row],[ENTRADA]],IF(Tabla8[[#This Row],[SALIDA]]&lt;F$10,Tabla8[[#This Row],[SALIDA]]-E$10-D$10,G$10))</f>
        <v>-0.36805555555555552</v>
      </c>
    </row>
    <row r="29" spans="2:8" x14ac:dyDescent="0.25">
      <c r="B29" s="55" t="str">
        <f>TEXT(Tabla8[[#This Row],[FECHA]],"dddd")</f>
        <v>martes</v>
      </c>
      <c r="C29" s="62">
        <v>45972</v>
      </c>
      <c r="D29" s="67">
        <v>0.60416666666666663</v>
      </c>
      <c r="E29" s="83">
        <v>0.7715277777777777</v>
      </c>
      <c r="F29" s="67"/>
      <c r="G29" s="67"/>
      <c r="H29" s="52">
        <f>IF(Tabla8[[#This Row],[ENTRADA]]&gt;G$7,F$10-E$10-Tabla8[[#This Row],[ENTRADA]],IF(Tabla8[[#This Row],[SALIDA]]&lt;F$10,Tabla8[[#This Row],[SALIDA]]-E$10-D$10,G$10))</f>
        <v>0.13194444444444453</v>
      </c>
    </row>
    <row r="30" spans="2:8" x14ac:dyDescent="0.25">
      <c r="B30" s="55" t="str">
        <f>TEXT(Tabla8[[#This Row],[FECHA]],"dddd")</f>
        <v>miércoles</v>
      </c>
      <c r="C30" s="62">
        <v>45973</v>
      </c>
      <c r="D30" s="67">
        <v>0.3125</v>
      </c>
      <c r="E30" s="67">
        <v>0.54166666666666663</v>
      </c>
      <c r="F30" s="67">
        <v>0.57638888888888895</v>
      </c>
      <c r="G30" s="67">
        <v>0.7715277777777777</v>
      </c>
      <c r="H30" s="52">
        <f>IF(Tabla8[[#This Row],[ENTRADA]]&gt;G$7,F$10-E$10-Tabla8[[#This Row],[ENTRADA]],IF(Tabla8[[#This Row],[SALIDA]]&lt;F$10,Tabla8[[#This Row],[SALIDA]]-E$10-D$10,G$10))</f>
        <v>0.40277777777777785</v>
      </c>
    </row>
    <row r="31" spans="2:8" x14ac:dyDescent="0.25">
      <c r="B31" s="55" t="str">
        <f>TEXT(Tabla8[[#This Row],[FECHA]],"dddd")</f>
        <v>jueves</v>
      </c>
      <c r="C31" s="62">
        <v>45974</v>
      </c>
      <c r="D31" s="67">
        <v>0.3215277777777778</v>
      </c>
      <c r="E31" s="67">
        <v>0.54236111111111118</v>
      </c>
      <c r="F31" s="67">
        <v>0.5756944444444444</v>
      </c>
      <c r="G31" s="67">
        <v>0.7729166666666667</v>
      </c>
      <c r="H31" s="52">
        <f>IF(Tabla8[[#This Row],[ENTRADA]]&gt;G$7,F$10-E$10-Tabla8[[#This Row],[ENTRADA]],IF(Tabla8[[#This Row],[SALIDA]]&lt;F$10,Tabla8[[#This Row],[SALIDA]]-E$10-D$10,G$10))</f>
        <v>0.40277777777777785</v>
      </c>
    </row>
    <row r="32" spans="2:8" x14ac:dyDescent="0.25">
      <c r="B32" s="55" t="str">
        <f>TEXT(Tabla8[[#This Row],[FECHA]],"dddd")</f>
        <v>viernes</v>
      </c>
      <c r="C32" s="62">
        <v>45975</v>
      </c>
      <c r="D32" s="67"/>
      <c r="E32" s="67"/>
      <c r="F32" s="67"/>
      <c r="G32" s="67"/>
      <c r="H32" s="52">
        <f>IF(Tabla8[[#This Row],[ENTRADA]]&gt;G$7,F$10-E$10-Tabla8[[#This Row],[ENTRADA]],IF(Tabla8[[#This Row],[SALIDA]]&lt;F$10,Tabla8[[#This Row],[SALIDA]]-E$10-D$10,G$10))</f>
        <v>-0.36805555555555552</v>
      </c>
    </row>
    <row r="33" spans="2:12" x14ac:dyDescent="0.25">
      <c r="B33" s="55" t="str">
        <f>TEXT(Tabla8[[#This Row],[FECHA]],"dddd")</f>
        <v>sábado</v>
      </c>
      <c r="C33" s="62">
        <v>45976</v>
      </c>
      <c r="D33" s="67">
        <v>0.31805555555555554</v>
      </c>
      <c r="E33" s="67">
        <v>0.55694444444444446</v>
      </c>
      <c r="F33" s="67"/>
      <c r="G33" s="67"/>
      <c r="H33" s="52"/>
    </row>
    <row r="34" spans="2:12" x14ac:dyDescent="0.25">
      <c r="B34" s="55" t="str">
        <f>TEXT(Tabla8[[#This Row],[FECHA]],"dddd")</f>
        <v>domingo</v>
      </c>
      <c r="C34" s="62">
        <v>45977</v>
      </c>
      <c r="D34" s="67"/>
      <c r="E34" s="67"/>
      <c r="F34" s="67"/>
      <c r="G34" s="67"/>
      <c r="H34" s="52"/>
    </row>
    <row r="35" spans="2:12" x14ac:dyDescent="0.25">
      <c r="B35" s="55" t="str">
        <f>TEXT(Tabla8[[#This Row],[FECHA]],"dddd")</f>
        <v>lunes</v>
      </c>
      <c r="C35" s="62">
        <v>45978</v>
      </c>
      <c r="D35" s="67"/>
      <c r="E35" s="67"/>
      <c r="F35" s="67"/>
      <c r="G35" s="67"/>
      <c r="H35" s="52">
        <f>IF(Tabla8[[#This Row],[ENTRADA]]&gt;G$7,F$10-E$10-Tabla8[[#This Row],[ENTRADA]],IF(Tabla8[[#This Row],[SALIDA]]&lt;F$10,Tabla8[[#This Row],[SALIDA]]-E$10-D$10,G$10))</f>
        <v>-0.36805555555555552</v>
      </c>
    </row>
    <row r="36" spans="2:12" x14ac:dyDescent="0.25">
      <c r="B36" s="55" t="str">
        <f>TEXT(Tabla8[[#This Row],[FECHA]],"dddd")</f>
        <v>martes</v>
      </c>
      <c r="C36" s="62">
        <v>45979</v>
      </c>
      <c r="D36" s="67">
        <v>0.61944444444444446</v>
      </c>
      <c r="E36" s="67">
        <v>0.77361111111111114</v>
      </c>
      <c r="F36" s="67"/>
      <c r="G36" s="67"/>
      <c r="H36" s="52">
        <f>IF(Tabla8[[#This Row],[ENTRADA]]&gt;G$7,F$10-E$10-Tabla8[[#This Row],[ENTRADA]],IF(Tabla8[[#This Row],[SALIDA]]&lt;F$10,Tabla8[[#This Row],[SALIDA]]-E$10-D$10,G$10))</f>
        <v>0.1166666666666667</v>
      </c>
    </row>
    <row r="37" spans="2:12" x14ac:dyDescent="0.25">
      <c r="B37" s="55" t="str">
        <f>TEXT(Tabla8[[#This Row],[FECHA]],"dddd")</f>
        <v>miércoles</v>
      </c>
      <c r="C37" s="62">
        <v>45980</v>
      </c>
      <c r="D37" s="67">
        <v>0.3034722222222222</v>
      </c>
      <c r="E37" s="67">
        <v>0.54236111111111118</v>
      </c>
      <c r="F37" s="67">
        <v>0.5756944444444444</v>
      </c>
      <c r="G37" s="67">
        <v>0.7715277777777777</v>
      </c>
      <c r="H37" s="52">
        <f>IF(Tabla8[[#This Row],[ENTRADA]]&gt;G$7,F$10-E$10-Tabla8[[#This Row],[ENTRADA]],IF(Tabla8[[#This Row],[SALIDA]]&lt;F$10,Tabla8[[#This Row],[SALIDA]]-E$10-D$10,G$10))</f>
        <v>0.40277777777777785</v>
      </c>
    </row>
    <row r="38" spans="2:12" x14ac:dyDescent="0.25">
      <c r="B38" s="55" t="str">
        <f>TEXT(Tabla8[[#This Row],[FECHA]],"dddd")</f>
        <v>jueves</v>
      </c>
      <c r="C38" s="62">
        <v>45981</v>
      </c>
      <c r="D38" s="67">
        <v>0.32708333333333334</v>
      </c>
      <c r="E38" s="67">
        <v>0.54166666666666663</v>
      </c>
      <c r="F38" s="67">
        <v>0.57638888888888895</v>
      </c>
      <c r="G38" s="67">
        <v>0.77222222222222225</v>
      </c>
      <c r="H38" s="52">
        <f>IF(Tabla8[[#This Row],[ENTRADA]]&gt;G$7,F$10-E$10-Tabla8[[#This Row],[ENTRADA]],IF(Tabla8[[#This Row],[SALIDA]]&lt;F$10,Tabla8[[#This Row],[SALIDA]]-E$10-D$10,G$10))</f>
        <v>0.40277777777777785</v>
      </c>
    </row>
    <row r="39" spans="2:12" x14ac:dyDescent="0.25">
      <c r="B39" s="55" t="str">
        <f>TEXT(Tabla8[[#This Row],[FECHA]],"dddd")</f>
        <v>viernes</v>
      </c>
      <c r="C39" s="62">
        <v>45982</v>
      </c>
      <c r="D39" s="67">
        <v>0.31527777777777777</v>
      </c>
      <c r="E39" s="67">
        <v>0.54236111111111118</v>
      </c>
      <c r="F39" s="67">
        <v>0.5756944444444444</v>
      </c>
      <c r="G39" s="67">
        <v>0.7715277777777777</v>
      </c>
      <c r="H39" s="52">
        <f>IF(Tabla8[[#This Row],[ENTRADA]]&gt;G$7,F$10-E$10-Tabla8[[#This Row],[ENTRADA]],IF(Tabla8[[#This Row],[SALIDA]]&lt;F$10,Tabla8[[#This Row],[SALIDA]]-E$10-D$10,G$10))</f>
        <v>0.40277777777777785</v>
      </c>
    </row>
    <row r="40" spans="2:12" x14ac:dyDescent="0.25">
      <c r="B40" s="55" t="str">
        <f>TEXT(Tabla8[[#This Row],[FECHA]],"dddd")</f>
        <v>sábado</v>
      </c>
      <c r="C40" s="62">
        <v>45983</v>
      </c>
      <c r="D40" s="67">
        <v>0.33263888888888887</v>
      </c>
      <c r="E40" s="67">
        <v>0.54375000000000007</v>
      </c>
      <c r="F40" s="67"/>
      <c r="G40" s="67"/>
      <c r="H40" s="52"/>
    </row>
    <row r="41" spans="2:12" x14ac:dyDescent="0.25">
      <c r="B41" s="55" t="str">
        <f>TEXT(Tabla8[[#This Row],[FECHA]],"dddd")</f>
        <v>domingo</v>
      </c>
      <c r="C41" s="62">
        <v>45984</v>
      </c>
      <c r="D41" s="67"/>
      <c r="E41" s="67"/>
      <c r="F41" s="67"/>
      <c r="G41" s="67"/>
      <c r="H41" s="52"/>
    </row>
    <row r="42" spans="2:12" x14ac:dyDescent="0.25">
      <c r="B42" s="55" t="str">
        <f>TEXT(Tabla8[[#This Row],[FECHA]],"dddd")</f>
        <v>lunes</v>
      </c>
      <c r="C42" s="62">
        <v>45985</v>
      </c>
      <c r="D42" s="67"/>
      <c r="E42" s="67"/>
      <c r="F42" s="67"/>
      <c r="G42" s="67"/>
      <c r="H42" s="52">
        <f>IF(Tabla8[[#This Row],[ENTRADA]]&gt;G$7,F$10-E$10-Tabla8[[#This Row],[ENTRADA]],IF(Tabla8[[#This Row],[SALIDA]]&lt;F$10,Tabla8[[#This Row],[SALIDA]]-E$10-D$10,G$10))</f>
        <v>-0.36805555555555552</v>
      </c>
    </row>
    <row r="43" spans="2:12" x14ac:dyDescent="0.25">
      <c r="B43" s="55" t="str">
        <f>TEXT(Tabla8[[#This Row],[FECHA]],"dddd")</f>
        <v>martes</v>
      </c>
      <c r="C43" s="62">
        <v>45986</v>
      </c>
      <c r="D43" s="67">
        <v>0.60555555555555551</v>
      </c>
      <c r="E43" s="67">
        <v>0.77083333333333337</v>
      </c>
      <c r="F43" s="67"/>
      <c r="G43" s="67"/>
      <c r="H43" s="52">
        <f>IF(Tabla8[[#This Row],[ENTRADA]]&gt;G$7,F$10-E$10-Tabla8[[#This Row],[ENTRADA]],IF(Tabla8[[#This Row],[SALIDA]]&lt;F$10,Tabla8[[#This Row],[SALIDA]]-E$10-D$10,G$10))</f>
        <v>0.13055555555555565</v>
      </c>
    </row>
    <row r="44" spans="2:12" x14ac:dyDescent="0.25">
      <c r="B44" s="55" t="str">
        <f>TEXT(Tabla8[[#This Row],[FECHA]],"dddd")</f>
        <v>miércoles</v>
      </c>
      <c r="C44" s="62">
        <v>45987</v>
      </c>
      <c r="D44" s="67">
        <v>0.31180555555555556</v>
      </c>
      <c r="E44" s="67">
        <v>0.54236111111111118</v>
      </c>
      <c r="F44" s="67">
        <v>0.5756944444444444</v>
      </c>
      <c r="G44" s="67">
        <v>0.7729166666666667</v>
      </c>
      <c r="H44" s="52">
        <f>IF(Tabla8[[#This Row],[ENTRADA]]&gt;G$7,F$10-E$10-Tabla8[[#This Row],[ENTRADA]],IF(Tabla8[[#This Row],[SALIDA]]&lt;F$10,Tabla8[[#This Row],[SALIDA]]-E$10-D$10,G$10))</f>
        <v>0.40277777777777785</v>
      </c>
    </row>
    <row r="45" spans="2:12" x14ac:dyDescent="0.25">
      <c r="B45" s="55" t="str">
        <f>TEXT(Tabla8[[#This Row],[FECHA]],"dddd")</f>
        <v>jueves</v>
      </c>
      <c r="C45" s="62">
        <v>45988</v>
      </c>
      <c r="D45" s="67">
        <v>0.32222222222222224</v>
      </c>
      <c r="E45" s="67">
        <v>0.54166666666666663</v>
      </c>
      <c r="F45" s="67">
        <v>0.57638888888888895</v>
      </c>
      <c r="G45" s="67">
        <v>0.7715277777777777</v>
      </c>
      <c r="H45" s="52">
        <f>IF(Tabla8[[#This Row],[ENTRADA]]&gt;G$7,F$10-E$10-Tabla8[[#This Row],[ENTRADA]],IF(Tabla8[[#This Row],[SALIDA]]&lt;F$10,Tabla8[[#This Row],[SALIDA]]-E$10-D$10,G$10))</f>
        <v>0.40277777777777785</v>
      </c>
    </row>
    <row r="46" spans="2:12" x14ac:dyDescent="0.25">
      <c r="B46" s="55" t="str">
        <f>TEXT(Tabla8[[#This Row],[FECHA]],"dddd")</f>
        <v>viernes</v>
      </c>
      <c r="C46" s="62">
        <v>45989</v>
      </c>
      <c r="D46" s="67">
        <v>0.3347222222222222</v>
      </c>
      <c r="E46" s="67"/>
      <c r="F46" s="67"/>
      <c r="G46" s="67"/>
      <c r="H46" s="52">
        <f>IF(Tabla8[[#This Row],[ENTRADA]]&gt;G$7,F$10-E$10-Tabla8[[#This Row],[ENTRADA]],IF(Tabla8[[#This Row],[SALIDA]]&lt;F$10,Tabla8[[#This Row],[SALIDA]]-E$10-D$10,G$10))</f>
        <v>-0.36805555555555552</v>
      </c>
    </row>
    <row r="47" spans="2:12" x14ac:dyDescent="0.25">
      <c r="B47" s="55" t="str">
        <f>TEXT(Tabla8[[#This Row],[FECHA]],"dddd")</f>
        <v>sábado</v>
      </c>
      <c r="C47" s="62">
        <v>45990</v>
      </c>
      <c r="D47" s="67"/>
      <c r="E47" s="67"/>
      <c r="F47" s="67"/>
      <c r="G47" s="67"/>
      <c r="H47" s="52"/>
      <c r="I47" s="51"/>
      <c r="J47" s="99"/>
      <c r="K47" s="99"/>
    </row>
    <row r="48" spans="2:12" x14ac:dyDescent="0.25">
      <c r="B48" s="55" t="str">
        <f>TEXT(Tabla8[[#This Row],[FECHA]],"dddd")</f>
        <v>domingo</v>
      </c>
      <c r="C48" s="84">
        <v>45991</v>
      </c>
      <c r="D48" s="83"/>
      <c r="E48" s="83"/>
      <c r="F48" s="83"/>
      <c r="G48" s="83"/>
      <c r="H48" s="52"/>
      <c r="I48" s="23"/>
      <c r="J48" s="99" t="s">
        <v>191</v>
      </c>
      <c r="K48" s="99"/>
      <c r="L48" s="47">
        <v>0.57638888888888895</v>
      </c>
    </row>
    <row r="49" spans="1:12" x14ac:dyDescent="0.25">
      <c r="I49" s="41"/>
    </row>
    <row r="50" spans="1:12" x14ac:dyDescent="0.25">
      <c r="A50" s="59" t="s">
        <v>162</v>
      </c>
      <c r="B50" s="59" t="s">
        <v>144</v>
      </c>
      <c r="C50" s="59" t="s">
        <v>193</v>
      </c>
      <c r="D50" s="59" t="s">
        <v>163</v>
      </c>
      <c r="E50" s="123" t="s">
        <v>165</v>
      </c>
      <c r="F50" s="123"/>
      <c r="G50" s="123" t="s">
        <v>166</v>
      </c>
      <c r="H50" s="123"/>
      <c r="J50" s="113" t="s">
        <v>159</v>
      </c>
      <c r="K50" s="114"/>
      <c r="L50" s="42"/>
    </row>
    <row r="51" spans="1:12" x14ac:dyDescent="0.25">
      <c r="A51">
        <v>0</v>
      </c>
      <c r="B51">
        <f>COUNTIF(Tabla8[ENTRADA],"&gt;"&amp;G7)</f>
        <v>4</v>
      </c>
      <c r="C51">
        <f>COUNTIF(Tabla8[ALMUERZO FIN],"&gt;"&amp;L48)</f>
        <v>2</v>
      </c>
      <c r="D51">
        <f>COUNTBLANK(Tabla8[TOTAL])</f>
        <v>8</v>
      </c>
      <c r="E51" s="124">
        <f>SUM(Tabla8[TOTAL])</f>
        <v>1.5965277777777793</v>
      </c>
      <c r="F51" s="124"/>
      <c r="G51" s="124">
        <f>IF(H7&gt;E51,H7-E51,"00:00")</f>
        <v>6.459027777777778</v>
      </c>
      <c r="H51" s="124"/>
      <c r="I51" s="41"/>
      <c r="J51" s="117" t="s">
        <v>158</v>
      </c>
      <c r="K51" s="118"/>
      <c r="L51" s="1"/>
    </row>
    <row r="53" spans="1:12" x14ac:dyDescent="0.25">
      <c r="B53" s="119" t="s">
        <v>121</v>
      </c>
      <c r="C53" s="120"/>
      <c r="D53" s="46">
        <f>Datos!B6</f>
        <v>0</v>
      </c>
      <c r="F53" s="113" t="s">
        <v>134</v>
      </c>
      <c r="G53" s="114"/>
      <c r="H53" s="48">
        <f>L50+L51/60</f>
        <v>0</v>
      </c>
    </row>
    <row r="54" spans="1:12" x14ac:dyDescent="0.25">
      <c r="B54" s="121" t="s">
        <v>183</v>
      </c>
      <c r="C54" s="122"/>
      <c r="D54" s="46">
        <f>D53/30</f>
        <v>0</v>
      </c>
      <c r="E54" s="43"/>
      <c r="F54" s="115" t="s">
        <v>166</v>
      </c>
      <c r="G54" s="116"/>
      <c r="H54" s="46">
        <f>$D$55*$H$53*2</f>
        <v>0</v>
      </c>
    </row>
    <row r="55" spans="1:12" x14ac:dyDescent="0.25">
      <c r="B55" s="121" t="s">
        <v>184</v>
      </c>
      <c r="C55" s="122"/>
      <c r="D55" s="46">
        <f>D54/8</f>
        <v>0</v>
      </c>
      <c r="F55" s="81" t="s">
        <v>192</v>
      </c>
      <c r="G55" s="82"/>
      <c r="H55" s="46">
        <f>C51*D55/2</f>
        <v>0</v>
      </c>
      <c r="I55" s="70"/>
    </row>
    <row r="56" spans="1:12" x14ac:dyDescent="0.25">
      <c r="B56" s="125" t="s">
        <v>108</v>
      </c>
      <c r="C56" s="126"/>
      <c r="D56" s="65">
        <f>ROUND(D53-H54,1)</f>
        <v>0</v>
      </c>
      <c r="E56" s="43"/>
      <c r="F56" s="81" t="s">
        <v>186</v>
      </c>
      <c r="G56" s="82"/>
      <c r="H56" s="46">
        <f>$D$51*$D$54*2</f>
        <v>0</v>
      </c>
      <c r="I56" s="71"/>
    </row>
    <row r="57" spans="1:12" x14ac:dyDescent="0.25">
      <c r="F57" s="81" t="s">
        <v>185</v>
      </c>
      <c r="G57" s="82"/>
      <c r="H57" s="46">
        <f>IF($B$51&gt;=4,$D$54,0)</f>
        <v>0</v>
      </c>
    </row>
    <row r="58" spans="1:12" x14ac:dyDescent="0.25">
      <c r="B58" s="99"/>
      <c r="C58" s="99"/>
      <c r="F58" s="85" t="s">
        <v>187</v>
      </c>
      <c r="G58" s="86"/>
      <c r="H58" s="46">
        <f>SUM(H54:H57)</f>
        <v>0</v>
      </c>
    </row>
  </sheetData>
  <mergeCells count="23">
    <mergeCell ref="J47:K47"/>
    <mergeCell ref="J48:K48"/>
    <mergeCell ref="H1:I2"/>
    <mergeCell ref="C1:G2"/>
    <mergeCell ref="B6:E6"/>
    <mergeCell ref="H6:I6"/>
    <mergeCell ref="C3:G4"/>
    <mergeCell ref="H3:I4"/>
    <mergeCell ref="B58:C58"/>
    <mergeCell ref="B55:C55"/>
    <mergeCell ref="B56:C56"/>
    <mergeCell ref="H7:I7"/>
    <mergeCell ref="B7:E7"/>
    <mergeCell ref="J50:K50"/>
    <mergeCell ref="F53:G53"/>
    <mergeCell ref="F54:G54"/>
    <mergeCell ref="J51:K51"/>
    <mergeCell ref="B53:C53"/>
    <mergeCell ref="B54:C54"/>
    <mergeCell ref="E50:F50"/>
    <mergeCell ref="E51:F51"/>
    <mergeCell ref="G50:H50"/>
    <mergeCell ref="G51:H51"/>
  </mergeCells>
  <phoneticPr fontId="9" type="noConversion"/>
  <conditionalFormatting sqref="D19:G48">
    <cfRule type="cellIs" dxfId="22" priority="2" operator="equal">
      <formula>"Feriado"</formula>
    </cfRule>
  </conditionalFormatting>
  <conditionalFormatting sqref="E10 E14 E12">
    <cfRule type="cellIs" priority="4" operator="greaterThan">
      <formula>$E$10</formula>
    </cfRule>
  </conditionalFormatting>
  <conditionalFormatting sqref="E11 E13">
    <cfRule type="cellIs" priority="3" operator="greaterThan">
      <formula>$E$10</formula>
    </cfRule>
  </conditionalFormatting>
  <conditionalFormatting sqref="D19:D48">
    <cfRule type="cellIs" dxfId="21" priority="1" operator="equal">
      <formula>"Vacaciones"</formula>
    </cfRule>
    <cfRule type="cellIs" dxfId="20" priority="5" operator="greaterThan">
      <formula>$G$7</formula>
    </cfRule>
    <cfRule type="cellIs" dxfId="19" priority="7" operator="greaterThan">
      <formula>$D$10</formula>
    </cfRule>
  </conditionalFormatting>
  <conditionalFormatting sqref="F19:F48">
    <cfRule type="cellIs" dxfId="18" priority="12" operator="greaterThan">
      <formula>$L$48</formula>
    </cfRule>
  </conditionalFormatting>
  <pageMargins left="1.0899999999999999" right="0.7" top="0.75" bottom="0.75" header="0.3" footer="0.3"/>
  <pageSetup paperSize="9" scale="76" fitToWidth="0" fitToHeight="0" orientation="portrait" horizontalDpi="4294967293" verticalDpi="4294967293" r:id="rId1"/>
  <headerFooter>
    <oddHeader>&amp;LPLANOS PERU
Calle Jose Muños 320 Urb. Santa Luzmila-Comas
R. U. C. 10099623387</oddHeader>
  </headerFooter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J67"/>
  <sheetViews>
    <sheetView showGridLines="0" showRowColHeaders="0" showRuler="0" view="pageLayout" topLeftCell="A4" zoomScale="80" zoomScaleNormal="100" zoomScalePageLayoutView="80" workbookViewId="0">
      <selection activeCell="F21" sqref="F21:I21"/>
    </sheetView>
  </sheetViews>
  <sheetFormatPr baseColWidth="10" defaultColWidth="11" defaultRowHeight="15.75" x14ac:dyDescent="0.25"/>
  <cols>
    <col min="1" max="1" width="13.625" customWidth="1"/>
    <col min="2" max="2" width="12.75" customWidth="1"/>
    <col min="4" max="4" width="11.875" customWidth="1"/>
    <col min="5" max="5" width="10.625" customWidth="1"/>
    <col min="6" max="6" width="12" customWidth="1"/>
    <col min="7" max="7" width="11" customWidth="1"/>
    <col min="8" max="8" width="9.125" customWidth="1"/>
    <col min="9" max="9" width="8.875" customWidth="1"/>
    <col min="10" max="10" width="17.25" customWidth="1"/>
  </cols>
  <sheetData>
    <row r="1" spans="1:10" ht="15.75" customHeight="1" x14ac:dyDescent="0.25">
      <c r="A1" s="35"/>
      <c r="B1" s="39"/>
      <c r="C1" s="136" t="s">
        <v>91</v>
      </c>
      <c r="D1" s="137"/>
      <c r="E1" s="137"/>
      <c r="F1" s="137"/>
      <c r="G1" s="138"/>
      <c r="H1" s="132" t="s">
        <v>113</v>
      </c>
      <c r="I1" s="159"/>
      <c r="J1" s="133"/>
    </row>
    <row r="2" spans="1:10" ht="15.75" customHeight="1" x14ac:dyDescent="0.25">
      <c r="A2" s="37"/>
      <c r="C2" s="139"/>
      <c r="D2" s="140"/>
      <c r="E2" s="140"/>
      <c r="F2" s="140"/>
      <c r="G2" s="141"/>
      <c r="H2" s="134"/>
      <c r="I2" s="179"/>
      <c r="J2" s="135"/>
    </row>
    <row r="3" spans="1:10" ht="43.5" customHeight="1" x14ac:dyDescent="0.25">
      <c r="A3" s="36"/>
      <c r="B3" s="38"/>
      <c r="C3" s="129" t="str">
        <f>'Reporte de Asistencia'!C3</f>
        <v>DEL 00/01/1900 AL 00/01/1900</v>
      </c>
      <c r="D3" s="130"/>
      <c r="E3" s="130"/>
      <c r="F3" s="130"/>
      <c r="G3" s="131"/>
      <c r="H3" s="143" t="s">
        <v>188</v>
      </c>
      <c r="I3" s="180"/>
      <c r="J3" s="144"/>
    </row>
    <row r="5" spans="1:10" ht="19.5" customHeight="1" x14ac:dyDescent="0.25">
      <c r="A5" s="77" t="s">
        <v>92</v>
      </c>
      <c r="B5" s="171" t="s">
        <v>123</v>
      </c>
      <c r="C5" s="173"/>
      <c r="D5" s="173"/>
      <c r="E5" s="172"/>
      <c r="F5" s="132" t="s">
        <v>116</v>
      </c>
      <c r="G5" s="133"/>
      <c r="H5" s="132" t="s">
        <v>143</v>
      </c>
      <c r="I5" s="133"/>
      <c r="J5" s="79" t="s">
        <v>93</v>
      </c>
    </row>
    <row r="6" spans="1:10" ht="18" customHeight="1" x14ac:dyDescent="0.25">
      <c r="A6" s="78">
        <f>'Reporte de Asistencia'!A7</f>
        <v>0</v>
      </c>
      <c r="B6" s="168">
        <f>'Reporte de Asistencia'!B7</f>
        <v>0</v>
      </c>
      <c r="C6" s="169"/>
      <c r="D6" s="169"/>
      <c r="E6" s="170"/>
      <c r="F6" s="167">
        <f>Datos!B10</f>
        <v>0</v>
      </c>
      <c r="G6" s="150"/>
      <c r="H6" s="167" t="str">
        <f>IF(Datos!B13="","",Datos!B13)</f>
        <v/>
      </c>
      <c r="I6" s="150"/>
      <c r="J6" s="80">
        <f>Datos!B6</f>
        <v>0</v>
      </c>
    </row>
    <row r="7" spans="1:10" ht="18.75" customHeight="1" x14ac:dyDescent="0.25">
      <c r="A7" s="171" t="s">
        <v>94</v>
      </c>
      <c r="B7" s="172"/>
      <c r="C7" s="171" t="s">
        <v>95</v>
      </c>
      <c r="D7" s="173"/>
      <c r="E7" s="173"/>
      <c r="F7" s="173"/>
      <c r="G7" s="173"/>
      <c r="H7" s="172"/>
      <c r="I7" s="132" t="s">
        <v>118</v>
      </c>
      <c r="J7" s="133"/>
    </row>
    <row r="8" spans="1:10" ht="18" customHeight="1" x14ac:dyDescent="0.25">
      <c r="A8" s="168">
        <f>Datos!B4</f>
        <v>0</v>
      </c>
      <c r="B8" s="170"/>
      <c r="C8" s="148"/>
      <c r="D8" s="149"/>
      <c r="E8" s="149"/>
      <c r="F8" s="149"/>
      <c r="G8" s="149"/>
      <c r="H8" s="150"/>
      <c r="I8" s="148">
        <f>'Reporte de Asistencia'!B51</f>
        <v>4</v>
      </c>
      <c r="J8" s="150"/>
    </row>
    <row r="9" spans="1:10" ht="17.25" customHeight="1" x14ac:dyDescent="0.25">
      <c r="A9" s="171" t="s">
        <v>96</v>
      </c>
      <c r="B9" s="173"/>
      <c r="C9" s="173"/>
      <c r="D9" s="173"/>
      <c r="E9" s="173"/>
      <c r="F9" s="172"/>
      <c r="G9" s="132" t="s">
        <v>117</v>
      </c>
      <c r="H9" s="133"/>
      <c r="I9" s="132" t="s">
        <v>97</v>
      </c>
      <c r="J9" s="133"/>
    </row>
    <row r="10" spans="1:10" ht="18.75" customHeight="1" x14ac:dyDescent="0.25">
      <c r="A10" s="168">
        <f>Datos!B5</f>
        <v>0</v>
      </c>
      <c r="B10" s="169"/>
      <c r="C10" s="169"/>
      <c r="D10" s="169"/>
      <c r="E10" s="169"/>
      <c r="F10" s="170"/>
      <c r="G10" s="164">
        <f>'Reporte de Asistencia'!G51</f>
        <v>6.459027777777778</v>
      </c>
      <c r="H10" s="150"/>
      <c r="I10" s="148">
        <f>'Reporte de Asistencia'!D51</f>
        <v>8</v>
      </c>
      <c r="J10" s="150"/>
    </row>
    <row r="11" spans="1:10" ht="18" customHeight="1" x14ac:dyDescent="0.25">
      <c r="A11" s="132" t="s">
        <v>98</v>
      </c>
      <c r="B11" s="133"/>
      <c r="C11" s="132" t="s">
        <v>122</v>
      </c>
      <c r="D11" s="133"/>
      <c r="E11" s="132" t="s">
        <v>100</v>
      </c>
      <c r="F11" s="133"/>
      <c r="G11" s="132" t="s">
        <v>101</v>
      </c>
      <c r="H11" s="133"/>
      <c r="I11" s="132" t="s">
        <v>104</v>
      </c>
      <c r="J11" s="133"/>
    </row>
    <row r="12" spans="1:10" ht="18" customHeight="1" x14ac:dyDescent="0.25">
      <c r="A12" s="174">
        <f>'Reporte de Asistencia'!F7</f>
        <v>20</v>
      </c>
      <c r="B12" s="175"/>
      <c r="C12" s="176">
        <f>'Reporte de Asistencia'!H7</f>
        <v>8.0555555555555571</v>
      </c>
      <c r="D12" s="175"/>
      <c r="E12" s="177" t="s">
        <v>114</v>
      </c>
      <c r="F12" s="175"/>
      <c r="G12" s="174" t="s">
        <v>114</v>
      </c>
      <c r="H12" s="175"/>
      <c r="I12" s="174" t="s">
        <v>105</v>
      </c>
      <c r="J12" s="175"/>
    </row>
    <row r="13" spans="1:10" ht="18" customHeight="1" x14ac:dyDescent="0.25">
      <c r="A13" s="132" t="s">
        <v>99</v>
      </c>
      <c r="B13" s="133"/>
      <c r="C13" s="152" t="s">
        <v>138</v>
      </c>
      <c r="D13" s="153"/>
      <c r="E13" s="132">
        <f>Datos!B7</f>
        <v>0</v>
      </c>
      <c r="F13" s="159"/>
      <c r="G13" s="133"/>
      <c r="H13" s="154" t="s">
        <v>189</v>
      </c>
      <c r="I13" s="112"/>
      <c r="J13" s="155"/>
    </row>
    <row r="14" spans="1:10" ht="18" customHeight="1" x14ac:dyDescent="0.25">
      <c r="A14" s="164">
        <f>'Reporte de Asistencia'!E51</f>
        <v>1.5965277777777793</v>
      </c>
      <c r="B14" s="150"/>
      <c r="C14" s="181">
        <f>'Reporte de Asistencia'!A51</f>
        <v>0</v>
      </c>
      <c r="D14" s="163"/>
      <c r="E14" s="161">
        <f>Datos!B8</f>
        <v>0</v>
      </c>
      <c r="F14" s="162"/>
      <c r="G14" s="163"/>
      <c r="H14" s="156" t="s">
        <v>114</v>
      </c>
      <c r="I14" s="157"/>
      <c r="J14" s="158"/>
    </row>
    <row r="15" spans="1:10" x14ac:dyDescent="0.25">
      <c r="A15" s="160" t="s">
        <v>102</v>
      </c>
      <c r="B15" s="160"/>
      <c r="C15" s="160"/>
      <c r="D15" s="160"/>
      <c r="E15" s="160"/>
      <c r="F15" s="160" t="s">
        <v>190</v>
      </c>
      <c r="G15" s="160"/>
      <c r="H15" s="160"/>
      <c r="I15" s="160"/>
      <c r="J15" s="160"/>
    </row>
    <row r="16" spans="1:10" x14ac:dyDescent="0.25">
      <c r="A16" s="160"/>
      <c r="B16" s="160"/>
      <c r="C16" s="160"/>
      <c r="D16" s="160"/>
      <c r="E16" s="160"/>
      <c r="F16" s="160"/>
      <c r="G16" s="160"/>
      <c r="H16" s="160"/>
      <c r="I16" s="160"/>
      <c r="J16" s="160"/>
    </row>
    <row r="17" spans="1:10" x14ac:dyDescent="0.25">
      <c r="A17" s="165" t="s">
        <v>103</v>
      </c>
      <c r="B17" s="165"/>
      <c r="C17" s="73"/>
      <c r="D17" s="73"/>
      <c r="E17" s="74">
        <f>'Reporte de Asistencia'!D53</f>
        <v>0</v>
      </c>
      <c r="F17" s="151" t="s">
        <v>115</v>
      </c>
      <c r="G17" s="151"/>
      <c r="H17" s="151"/>
      <c r="I17" s="151"/>
      <c r="J17" s="70">
        <f>ROUND('Reporte de Asistencia'!H54,1)</f>
        <v>0</v>
      </c>
    </row>
    <row r="18" spans="1:10" x14ac:dyDescent="0.25">
      <c r="A18" s="165" t="s">
        <v>176</v>
      </c>
      <c r="B18" s="165"/>
      <c r="C18" s="165"/>
      <c r="D18" s="165"/>
      <c r="E18" s="75" t="s">
        <v>114</v>
      </c>
      <c r="F18" s="166" t="s">
        <v>194</v>
      </c>
      <c r="G18" s="166"/>
      <c r="H18" s="166"/>
      <c r="I18" s="166"/>
      <c r="J18" s="70">
        <f>ROUND('Reporte de Asistencia'!H55,1)</f>
        <v>0</v>
      </c>
    </row>
    <row r="19" spans="1:10" x14ac:dyDescent="0.25">
      <c r="A19" s="165" t="s">
        <v>177</v>
      </c>
      <c r="B19" s="165"/>
      <c r="C19" s="165"/>
      <c r="D19" s="165"/>
      <c r="E19" s="75" t="s">
        <v>114</v>
      </c>
      <c r="F19" s="151" t="s">
        <v>180</v>
      </c>
      <c r="G19" s="151"/>
      <c r="H19" s="151"/>
      <c r="I19" s="151"/>
      <c r="J19" s="76">
        <f>ROUND('Reporte de Asistencia'!H56,1)</f>
        <v>0</v>
      </c>
    </row>
    <row r="20" spans="1:10" x14ac:dyDescent="0.25">
      <c r="A20" s="151" t="s">
        <v>178</v>
      </c>
      <c r="B20" s="151"/>
      <c r="C20" s="151"/>
      <c r="D20" s="151"/>
      <c r="E20" s="75" t="s">
        <v>114</v>
      </c>
      <c r="F20" s="151" t="s">
        <v>181</v>
      </c>
      <c r="G20" s="151"/>
      <c r="H20" s="151"/>
      <c r="I20" s="151"/>
      <c r="J20" s="76">
        <f>ROUND('Reporte de Asistencia'!H57,1)</f>
        <v>0</v>
      </c>
    </row>
    <row r="21" spans="1:10" x14ac:dyDescent="0.25">
      <c r="A21" s="151" t="s">
        <v>179</v>
      </c>
      <c r="B21" s="151"/>
      <c r="C21" s="151"/>
      <c r="D21" s="151"/>
      <c r="E21" s="75" t="s">
        <v>114</v>
      </c>
      <c r="F21" s="151" t="s">
        <v>182</v>
      </c>
      <c r="G21" s="151"/>
      <c r="H21" s="151"/>
      <c r="I21" s="151"/>
      <c r="J21" s="50" t="s">
        <v>114</v>
      </c>
    </row>
    <row r="22" spans="1:10" x14ac:dyDescent="0.25">
      <c r="A22" s="50"/>
      <c r="F22" s="166"/>
      <c r="G22" s="166"/>
      <c r="H22" s="166"/>
      <c r="I22" s="166"/>
    </row>
    <row r="24" spans="1:10" x14ac:dyDescent="0.25">
      <c r="A24" s="49"/>
      <c r="B24" s="47"/>
      <c r="C24" s="47"/>
    </row>
    <row r="30" spans="1:10" x14ac:dyDescent="0.25">
      <c r="A30" s="182" t="s">
        <v>106</v>
      </c>
      <c r="B30" s="182"/>
      <c r="C30" s="182"/>
      <c r="D30" s="182"/>
      <c r="E30" s="42">
        <f>SUM(E17:E20)</f>
        <v>0</v>
      </c>
      <c r="F30" s="183" t="s">
        <v>107</v>
      </c>
      <c r="G30" s="184"/>
      <c r="H30" s="184"/>
      <c r="I30" s="185"/>
      <c r="J30" s="48">
        <f>ROUND(SUM(J17:J21),1)</f>
        <v>0</v>
      </c>
    </row>
    <row r="31" spans="1:10" x14ac:dyDescent="0.25">
      <c r="F31" s="182" t="s">
        <v>108</v>
      </c>
      <c r="G31" s="182"/>
      <c r="H31" s="182"/>
      <c r="I31" s="182"/>
      <c r="J31" s="46">
        <f>E30-J30</f>
        <v>0</v>
      </c>
    </row>
    <row r="45" spans="1:10" x14ac:dyDescent="0.25">
      <c r="A45" s="112" t="s">
        <v>109</v>
      </c>
      <c r="B45" s="112"/>
      <c r="C45" s="112"/>
      <c r="D45" s="112"/>
      <c r="G45" s="112" t="s">
        <v>110</v>
      </c>
      <c r="H45" s="112"/>
      <c r="I45" s="112"/>
      <c r="J45" s="112"/>
    </row>
    <row r="46" spans="1:10" x14ac:dyDescent="0.25">
      <c r="A46" s="99" t="s">
        <v>119</v>
      </c>
      <c r="B46" s="99"/>
      <c r="C46" s="99"/>
      <c r="D46" s="99"/>
      <c r="G46" s="99">
        <f>A10</f>
        <v>0</v>
      </c>
      <c r="H46" s="99"/>
      <c r="I46" s="99"/>
      <c r="J46" s="99"/>
    </row>
    <row r="47" spans="1:10" x14ac:dyDescent="0.25">
      <c r="A47" s="99" t="s">
        <v>160</v>
      </c>
      <c r="B47" s="99"/>
      <c r="C47" s="99"/>
      <c r="D47" s="99"/>
      <c r="G47" s="99">
        <f>B6</f>
        <v>0</v>
      </c>
      <c r="H47" s="99"/>
      <c r="I47" s="99"/>
      <c r="J47" s="99"/>
    </row>
    <row r="58" spans="1:3" x14ac:dyDescent="0.25">
      <c r="A58" s="178"/>
      <c r="B58" s="178"/>
      <c r="C58" s="71"/>
    </row>
    <row r="59" spans="1:3" x14ac:dyDescent="0.25">
      <c r="A59" s="178"/>
      <c r="B59" s="178"/>
      <c r="C59" s="71"/>
    </row>
    <row r="60" spans="1:3" x14ac:dyDescent="0.25">
      <c r="A60" s="178"/>
      <c r="B60" s="178"/>
      <c r="C60" s="71"/>
    </row>
    <row r="67" spans="1:2" x14ac:dyDescent="0.25">
      <c r="A67" t="s">
        <v>120</v>
      </c>
      <c r="B67" t="s">
        <v>124</v>
      </c>
    </row>
  </sheetData>
  <mergeCells count="65">
    <mergeCell ref="A20:D20"/>
    <mergeCell ref="A21:D21"/>
    <mergeCell ref="F20:I20"/>
    <mergeCell ref="A58:B58"/>
    <mergeCell ref="A47:D47"/>
    <mergeCell ref="A30:D30"/>
    <mergeCell ref="F30:I30"/>
    <mergeCell ref="F31:I31"/>
    <mergeCell ref="A45:D45"/>
    <mergeCell ref="G45:J45"/>
    <mergeCell ref="G47:J47"/>
    <mergeCell ref="A46:D46"/>
    <mergeCell ref="G46:J46"/>
    <mergeCell ref="F21:I21"/>
    <mergeCell ref="F22:I22"/>
    <mergeCell ref="A59:B59"/>
    <mergeCell ref="A60:B60"/>
    <mergeCell ref="I10:J10"/>
    <mergeCell ref="H1:J2"/>
    <mergeCell ref="H3:J3"/>
    <mergeCell ref="I8:J8"/>
    <mergeCell ref="G11:H11"/>
    <mergeCell ref="G12:H12"/>
    <mergeCell ref="C1:G2"/>
    <mergeCell ref="C3:G3"/>
    <mergeCell ref="F5:G5"/>
    <mergeCell ref="C14:D14"/>
    <mergeCell ref="A17:B17"/>
    <mergeCell ref="B5:E5"/>
    <mergeCell ref="A19:D19"/>
    <mergeCell ref="I11:J11"/>
    <mergeCell ref="I12:J12"/>
    <mergeCell ref="I9:J9"/>
    <mergeCell ref="A12:B12"/>
    <mergeCell ref="C12:D12"/>
    <mergeCell ref="E12:F12"/>
    <mergeCell ref="H5:I5"/>
    <mergeCell ref="H6:I6"/>
    <mergeCell ref="F6:G6"/>
    <mergeCell ref="B6:E6"/>
    <mergeCell ref="A11:B11"/>
    <mergeCell ref="C11:D11"/>
    <mergeCell ref="E11:F11"/>
    <mergeCell ref="A7:B7"/>
    <mergeCell ref="A8:B8"/>
    <mergeCell ref="G10:H10"/>
    <mergeCell ref="C7:H7"/>
    <mergeCell ref="C8:H8"/>
    <mergeCell ref="G9:H9"/>
    <mergeCell ref="A9:F9"/>
    <mergeCell ref="A10:F10"/>
    <mergeCell ref="I7:J7"/>
    <mergeCell ref="F19:I19"/>
    <mergeCell ref="C13:D13"/>
    <mergeCell ref="H13:J13"/>
    <mergeCell ref="H14:J14"/>
    <mergeCell ref="A13:B13"/>
    <mergeCell ref="E13:G13"/>
    <mergeCell ref="F15:J16"/>
    <mergeCell ref="A15:E16"/>
    <mergeCell ref="E14:G14"/>
    <mergeCell ref="A14:B14"/>
    <mergeCell ref="A18:D18"/>
    <mergeCell ref="F17:I17"/>
    <mergeCell ref="F18:I18"/>
  </mergeCells>
  <printOptions horizontalCentered="1"/>
  <pageMargins left="0.6692913385826772" right="0.6692913385826772" top="0.94488188976377963" bottom="0.74803149606299213" header="0.31496062992125984" footer="0.31496062992125984"/>
  <pageSetup paperSize="9" scale="65" orientation="portrait" r:id="rId1"/>
  <headerFooter>
    <oddHeader>&amp;LPLANOS PERU
Calle Jose Muños 320 Urb. Santa Luzmila-Comas
R. U. C. 10099623387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D407-C868-4844-8972-EC84DD5FFBA0}">
  <sheetPr codeName="Hoja6"/>
  <dimension ref="B2:G16"/>
  <sheetViews>
    <sheetView view="pageLayout" topLeftCell="A3" zoomScaleNormal="100" workbookViewId="0">
      <selection activeCell="F10" sqref="F10"/>
    </sheetView>
  </sheetViews>
  <sheetFormatPr baseColWidth="10" defaultColWidth="9" defaultRowHeight="15.75" x14ac:dyDescent="0.25"/>
  <sheetData>
    <row r="2" spans="2:7" x14ac:dyDescent="0.25">
      <c r="B2" t="s">
        <v>125</v>
      </c>
    </row>
    <row r="4" spans="2:7" x14ac:dyDescent="0.25">
      <c r="B4" t="s">
        <v>145</v>
      </c>
      <c r="F4" s="45" t="s">
        <v>133</v>
      </c>
    </row>
    <row r="6" spans="2:7" x14ac:dyDescent="0.25">
      <c r="B6" t="s">
        <v>136</v>
      </c>
      <c r="F6" s="45" t="s">
        <v>137</v>
      </c>
    </row>
    <row r="8" spans="2:7" x14ac:dyDescent="0.25">
      <c r="B8" t="s">
        <v>142</v>
      </c>
    </row>
    <row r="10" spans="2:7" x14ac:dyDescent="0.25">
      <c r="B10" t="s">
        <v>144</v>
      </c>
      <c r="F10" s="45" t="s">
        <v>146</v>
      </c>
    </row>
    <row r="13" spans="2:7" x14ac:dyDescent="0.25">
      <c r="B13" s="45" t="s">
        <v>161</v>
      </c>
      <c r="E13" s="41"/>
    </row>
    <row r="14" spans="2:7" x14ac:dyDescent="0.25">
      <c r="F14" s="47"/>
      <c r="G14" s="41"/>
    </row>
    <row r="16" spans="2:7" x14ac:dyDescent="0.25">
      <c r="F16" s="47"/>
      <c r="G16" s="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Reloj</vt:lpstr>
      <vt:lpstr>Historico</vt:lpstr>
      <vt:lpstr>Horas trabajadas</vt:lpstr>
      <vt:lpstr>Datos</vt:lpstr>
      <vt:lpstr>Reporte de Asistencia</vt:lpstr>
      <vt:lpstr>Boleta de Pago</vt:lpstr>
      <vt:lpstr>Reglas de Pago</vt:lpstr>
      <vt:lpstr>'Reporte de Asistencia'!Print_Area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 - JORGE BRIAN VELEZ DE VILLA ARISTA</dc:creator>
  <cp:lastModifiedBy>Sistemas</cp:lastModifiedBy>
  <cp:lastPrinted>2024-04-19T22:04:00Z</cp:lastPrinted>
  <dcterms:created xsi:type="dcterms:W3CDTF">2021-11-24T13:34:33Z</dcterms:created>
  <dcterms:modified xsi:type="dcterms:W3CDTF">2025-11-28T14:48:07Z</dcterms:modified>
</cp:coreProperties>
</file>