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53C8333C-7F77-4E0C-A5ED-F1A1BC50B456}" xr6:coauthVersionLast="47" xr6:coauthVersionMax="47" xr10:uidLastSave="{00000000-0000-0000-0000-000000000000}"/>
  <bookViews>
    <workbookView xWindow="14400" yWindow="0" windowWidth="14400" windowHeight="15600" xr2:uid="{3FBC3599-B144-4DFD-8008-7AA72473920F}"/>
  </bookViews>
  <sheets>
    <sheet name="OBR-CON" sheetId="2" r:id="rId1"/>
  </sheets>
  <definedNames>
    <definedName name="_xlnm.Print_Area" localSheetId="0">'OBR-CON'!$A$1:$H$72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3" i="2" s="1"/>
  <c r="G61" i="2" l="1"/>
  <c r="G62" i="2" s="1"/>
</calcChain>
</file>

<file path=xl/sharedStrings.xml><?xml version="1.0" encoding="utf-8"?>
<sst xmlns="http://schemas.openxmlformats.org/spreadsheetml/2006/main" count="107" uniqueCount="106">
  <si>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</si>
  <si>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</si>
  <si>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</si>
  <si>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</si>
  <si>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</si>
  <si>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COTIZACIÓN / CONTRATO DE EXPEDIENTE DE PLANO DE OBRA Y LICENCIA DE CONSTRUCCIÓN MUNICIPAL PARA UNA VIVIENDA MULTIFAMILIAR</t>
  </si>
  <si>
    <t>Proyecto:</t>
  </si>
  <si>
    <t>Elaboración de expediente para licencia de construcción - Municipio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</si>
  <si>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</si>
  <si>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</si>
  <si>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</si>
  <si>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</si>
  <si>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</si>
  <si>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</si>
  <si>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</si>
  <si>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</si>
  <si>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</si>
  <si>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 DESCRIPCIÓN DE NUESTROS SERVICIOS</t>
  </si>
  <si>
    <t>A. GUIA</t>
  </si>
  <si>
    <r>
      <rPr>
        <b/>
        <sz val="9"/>
        <rFont val="Arial Narrow"/>
        <family val="2"/>
      </rPr>
      <t>B.6 INSTALACIONES ELECTRICAS</t>
    </r>
    <r>
      <rPr>
        <sz val="9"/>
        <rFont val="Arial Narrow"/>
        <family val="2"/>
      </rPr>
      <t>: Red de alumbrado</t>
    </r>
  </si>
  <si>
    <t>A.1 Planos - bosquejo del cliente</t>
  </si>
  <si>
    <t>Red de tomacorrientes/Tableros/Medidores/Cuadro de</t>
  </si>
  <si>
    <t xml:space="preserve">A.2 Medicion de terreno o inmueble del cliente </t>
  </si>
  <si>
    <t>Cargas/Diagrama Unifilares/Pozo de Tierra, detalles</t>
  </si>
  <si>
    <t>B. PLANOS</t>
  </si>
  <si>
    <r>
      <rPr>
        <b/>
        <sz val="9"/>
        <rFont val="Arial Narrow"/>
        <family val="2"/>
      </rPr>
      <t xml:space="preserve">B.7 INSTALACIONES SANITARIAS: </t>
    </r>
    <r>
      <rPr>
        <sz val="9"/>
        <rFont val="Arial Narrow"/>
        <family val="2"/>
      </rPr>
      <t>Red de Agua Fria,</t>
    </r>
  </si>
  <si>
    <r>
      <rPr>
        <b/>
        <sz val="9"/>
        <rFont val="Arial Narrow"/>
        <family val="2"/>
      </rPr>
      <t>B.1 ANTEPROYECTO:</t>
    </r>
    <r>
      <rPr>
        <sz val="9"/>
        <rFont val="Arial Narrow"/>
        <family val="2"/>
      </rPr>
      <t xml:space="preserve"> Hasta 3 Diseños</t>
    </r>
  </si>
  <si>
    <t xml:space="preserve">Agua caliente/Red de Desague y Cajas de Registros, detalles </t>
  </si>
  <si>
    <r>
      <rPr>
        <b/>
        <sz val="9"/>
        <rFont val="Arial Narrow"/>
        <family val="2"/>
      </rPr>
      <t>B.2</t>
    </r>
    <r>
      <rPr>
        <sz val="9"/>
        <rFont val="Arial Narrow"/>
        <family val="2"/>
      </rPr>
      <t xml:space="preserve"> </t>
    </r>
    <r>
      <rPr>
        <b/>
        <sz val="9"/>
        <rFont val="Arial Narrow"/>
        <family val="2"/>
      </rPr>
      <t xml:space="preserve">ARQUITECTURA: </t>
    </r>
    <r>
      <rPr>
        <sz val="9"/>
        <rFont val="Arial Narrow"/>
        <family val="2"/>
      </rPr>
      <t xml:space="preserve">Distribucion de Ambientes/Medidas </t>
    </r>
  </si>
  <si>
    <r>
      <rPr>
        <b/>
        <sz val="9"/>
        <rFont val="Arial Narrow"/>
        <family val="2"/>
      </rPr>
      <t xml:space="preserve">B.8 INSTALACIONES DE GAS NATURAL: </t>
    </r>
    <r>
      <rPr>
        <sz val="9"/>
        <rFont val="Arial Narrow"/>
        <family val="2"/>
      </rPr>
      <t>Red de</t>
    </r>
  </si>
  <si>
    <t>Ejes/Columnas/Ingreso/Escaleras/Puertas/Ventanas/Muros</t>
  </si>
  <si>
    <t xml:space="preserve">Tuberias, Alimentacion, Cocina y Terma a Gas, detalles </t>
  </si>
  <si>
    <r>
      <rPr>
        <b/>
        <sz val="9"/>
        <rFont val="Arial Narrow"/>
        <family val="2"/>
      </rPr>
      <t>B.3</t>
    </r>
    <r>
      <rPr>
        <sz val="9"/>
        <rFont val="Arial Narrow"/>
        <family val="2"/>
      </rPr>
      <t xml:space="preserve"> </t>
    </r>
    <r>
      <rPr>
        <b/>
        <sz val="9"/>
        <rFont val="Arial Narrow"/>
        <family val="2"/>
      </rPr>
      <t xml:space="preserve">CORTES Y ELEVACIONES: </t>
    </r>
    <r>
      <rPr>
        <sz val="9"/>
        <rFont val="Arial Narrow"/>
        <family val="2"/>
      </rPr>
      <t>Alturas de Ambientes,</t>
    </r>
  </si>
  <si>
    <r>
      <rPr>
        <b/>
        <sz val="9"/>
        <rFont val="Arial Narrow"/>
        <family val="2"/>
      </rPr>
      <t>B.9</t>
    </r>
    <r>
      <rPr>
        <sz val="9"/>
        <rFont val="Arial Narrow"/>
        <family val="2"/>
      </rPr>
      <t xml:space="preserve"> </t>
    </r>
    <r>
      <rPr>
        <b/>
        <sz val="9"/>
        <rFont val="Arial Narrow"/>
        <family val="2"/>
      </rPr>
      <t xml:space="preserve">INSTALACIONES DE REDES AUXILIARES: </t>
    </r>
    <r>
      <rPr>
        <sz val="9"/>
        <rFont val="Arial Narrow"/>
        <family val="2"/>
      </rPr>
      <t xml:space="preserve">Red de </t>
    </r>
  </si>
  <si>
    <t>Escaleras, Vigas y Niveles</t>
  </si>
  <si>
    <t xml:space="preserve">Instalacion de Timbre, Intercomunicador /Red TV /Fibra optica/cable
</t>
  </si>
  <si>
    <r>
      <rPr>
        <b/>
        <sz val="9"/>
        <rFont val="Arial Narrow"/>
        <family val="2"/>
      </rPr>
      <t>B.4 ESTRUCTURAS DE CIMENTACIÓN</t>
    </r>
    <r>
      <rPr>
        <sz val="9"/>
        <rFont val="Arial Narrow"/>
        <family val="2"/>
      </rPr>
      <t>: Cimiento Corrido</t>
    </r>
  </si>
  <si>
    <t>B.10 UBICACIÓN Y LOCALIZACION</t>
  </si>
  <si>
    <t>/Zapatas/Columnas/Cisterna y Detalle de Construcción</t>
  </si>
  <si>
    <r>
      <rPr>
        <b/>
        <sz val="9"/>
        <rFont val="Arial Narrow"/>
        <family val="2"/>
      </rPr>
      <t>B.5</t>
    </r>
    <r>
      <rPr>
        <sz val="9"/>
        <rFont val="Arial Narrow"/>
        <family val="2"/>
      </rPr>
      <t xml:space="preserve"> </t>
    </r>
    <r>
      <rPr>
        <b/>
        <sz val="9"/>
        <rFont val="Arial Narrow"/>
        <family val="2"/>
      </rPr>
      <t>ESTRUCTURAS TECHOS ALIGERADOS:</t>
    </r>
    <r>
      <rPr>
        <sz val="9"/>
        <rFont val="Arial Narrow"/>
        <family val="2"/>
      </rPr>
      <t xml:space="preserve"> Vigas</t>
    </r>
  </si>
  <si>
    <t>DISEÑO DE CORTESIA</t>
  </si>
  <si>
    <t>Principales/Secundarias/Union de Vigas/Losas/Aceros</t>
  </si>
  <si>
    <t>B.10 SIMULACION DE RESISTENCIA ESTRUCTURAL 3D</t>
  </si>
  <si>
    <t>Estribos, detalles.</t>
  </si>
  <si>
    <t>B.11 UNA FACHADA 3D - UN MODELO</t>
  </si>
  <si>
    <t>C.  Elaboración de Documentos: del Expediente Solicitado</t>
  </si>
  <si>
    <t>C.1 Lectura Titulo SUNARP</t>
  </si>
  <si>
    <t>C.13 Presupuesto de Obra</t>
  </si>
  <si>
    <t>C.2 Solicitud y Memoria Descriptiva SUNARP</t>
  </si>
  <si>
    <t>C.14 Carta de Seguridad de Obra</t>
  </si>
  <si>
    <t>C.3 Elaboracion de reglamento interno y junta de propietarios</t>
  </si>
  <si>
    <t>C.15 Carta de Responsabilidad de Obra</t>
  </si>
  <si>
    <t>C.4 Formulario Registral Nº 2</t>
  </si>
  <si>
    <t>C.16 Escrito para respuesta de Notificacion Municipal</t>
  </si>
  <si>
    <t>B.6 Modificación - Reglamento interno y junta de Propietarios</t>
  </si>
  <si>
    <t>C.17 Independización de autoavaluo en 6 unidades en municipio</t>
  </si>
  <si>
    <t>C.7 Informe Tecnico de Verificación</t>
  </si>
  <si>
    <t>C.18 Escritura publica de abjudicacion predio a c/propietario</t>
  </si>
  <si>
    <t>C.8 Declaracion Jurada</t>
  </si>
  <si>
    <t>C.19 Asesoria durante el proceso</t>
  </si>
  <si>
    <t>C.9 Anexo Nº 1 SUNARP</t>
  </si>
  <si>
    <t>C.20 Memoria descriptiva de Calculo de Especialidades</t>
  </si>
  <si>
    <t>C.10 Anexo Nº 4 SUNARP</t>
  </si>
  <si>
    <t>C.21 Factibilidad Sanitaria</t>
  </si>
  <si>
    <t>C.11 Subsanacion de observaciones SUNARP</t>
  </si>
  <si>
    <t>C.22 Memoria(s) descriptiva(s)</t>
  </si>
  <si>
    <t>C.12 FUE (Formulario Unico de Edifcaciones)</t>
  </si>
  <si>
    <t>C.23 Factibilidad Electrica</t>
  </si>
  <si>
    <t>2.- ALCANCES: ENTREGA DE DOCUMENTOS FIRMADOS – PROFESIONALES VIGENTES</t>
  </si>
  <si>
    <t>2.1 Planos Completos Firmados y Sellados 3 originales</t>
  </si>
  <si>
    <t>2.3 Investigacion Antecedentes de Inmueble SUNARP</t>
  </si>
  <si>
    <t>por 4 Profesionales Colegiados y</t>
  </si>
  <si>
    <t>2.4 Servicio de Tramitación de expediente ante</t>
  </si>
  <si>
    <t>Habilitados Vigentes</t>
  </si>
  <si>
    <t>la entidad correspondiente hasta la emisión de la</t>
  </si>
  <si>
    <t>2.2 CD - Grabación Digital del Planos</t>
  </si>
  <si>
    <t>licencia municipal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</si>
  <si>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</si>
  <si>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</si>
  <si>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</si>
  <si>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</si>
  <si>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</si>
  <si>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</si>
  <si>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</si>
  <si>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</si>
  <si>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>Previo al ingreso Expediente al Municipio para Licencia</t>
  </si>
  <si>
    <t>Aprox.</t>
  </si>
  <si>
    <t>Previo al la Contraentrega de Planos de Obra finalizados</t>
  </si>
  <si>
    <t>NOTAS: Oferta Valida 7 Días, No  incluye costo de impuesto alguno en la realización del trámite. Documento con vigencia limitada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</si>
  <si>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</si>
  <si>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</si>
  <si>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</si>
  <si>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</si>
  <si>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</si>
  <si>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>A la Aprobación de la Presente Proforma y Medición del Inmueble</t>
  </si>
  <si>
    <t xml:space="preserve">Cuota 1 S/  </t>
  </si>
  <si>
    <t xml:space="preserve">Cuota 2 S/  </t>
  </si>
  <si>
    <t xml:space="preserve">Cuota 3 S/  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</si>
  <si>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</si>
  <si>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</si>
  <si>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</si>
  <si>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</si>
  <si>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</si>
  <si>
    <t>Ing. Civil Aguirre Alanya Luis Antonio CIP: 323997 CIV: 022178VCZRIX</t>
  </si>
  <si>
    <t>Ing. Eléctrico David Ronceros Barreto CIP: 195774</t>
  </si>
  <si>
    <t>Ing. Sanitario Adrián Narciso Quiñonez Rojas CIP 150756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</si>
</sst>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10"/>
      <color theme="4"/>
      <name val="Arial Narrow"/>
      <family val="2"/>
    </font>
    <font>
      <sz val="9"/>
      <name val="Arial Narrow"/>
      <family val="2"/>
    </font>
    <font>
      <b/>
      <sz val="9"/>
      <name val="Arial Narrow"/>
      <family val="2"/>
    </font>
    <font>
      <sz val="9"/>
      <color theme="2" tint="-0.249977111117893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1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0" fontId="11" fillId="0" borderId="0" xfId="0" applyFont="1" applyProtection="1">
      <protection locked="0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3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7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6" fillId="0" borderId="10" xfId="0" applyFont="1" applyBorder="1" applyAlignment="1" applyProtection="1">
      <alignment horizontal="center" vertical="center"/>
      <protection hidden="1"/>
    </xf>
    <xf numFmtId="0" fontId="13" fillId="3" borderId="1" xfId="0" applyFont="1" applyFill="1" applyBorder="1" applyAlignment="1" applyProtection="1">
      <alignment vertical="center"/>
      <protection hidden="1"/>
    </xf>
    <xf numFmtId="0" fontId="13" fillId="3" borderId="2" xfId="0" applyFont="1" applyFill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13" fillId="3" borderId="12" xfId="0" applyFont="1" applyFill="1" applyBorder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3" fillId="3" borderId="3" xfId="0" applyFont="1" applyFill="1" applyBorder="1" applyAlignment="1">
      <alignment horizontal="left" vertical="center"/>
    </xf>
    <xf numFmtId="0" fontId="13" fillId="3" borderId="12" xfId="0" applyFont="1" applyFill="1" applyBorder="1" applyAlignment="1" applyProtection="1">
      <alignment horizontal="left" vertical="center"/>
      <protection hidden="1"/>
    </xf>
    <xf numFmtId="0" fontId="13" fillId="3" borderId="0" xfId="0" applyFont="1" applyFill="1" applyAlignment="1" applyProtection="1">
      <alignment horizontal="left" vertical="center"/>
      <protection hidden="1"/>
    </xf>
    <xf numFmtId="0" fontId="13" fillId="3" borderId="3" xfId="0" applyFont="1" applyFill="1" applyBorder="1" applyAlignment="1" applyProtection="1">
      <alignment horizontal="left" vertical="center"/>
      <protection hidden="1"/>
    </xf>
    <xf numFmtId="0" fontId="13" fillId="3" borderId="13" xfId="0" applyFont="1" applyFill="1" applyBorder="1" applyAlignment="1">
      <alignment horizontal="left" vertical="center"/>
    </xf>
    <xf numFmtId="0" fontId="13" fillId="3" borderId="4" xfId="0" applyFont="1" applyFill="1" applyBorder="1" applyAlignment="1">
      <alignment horizontal="left" vertical="center"/>
    </xf>
    <xf numFmtId="0" fontId="13" fillId="3" borderId="14" xfId="0" applyFont="1" applyFill="1" applyBorder="1" applyAlignment="1">
      <alignment horizontal="left" vertical="center"/>
    </xf>
    <xf numFmtId="0" fontId="13" fillId="3" borderId="13" xfId="0" applyFont="1" applyFill="1" applyBorder="1" applyAlignment="1" applyProtection="1">
      <alignment horizontal="left" vertical="center"/>
      <protection hidden="1"/>
    </xf>
    <xf numFmtId="0" fontId="13" fillId="3" borderId="4" xfId="0" applyFont="1" applyFill="1" applyBorder="1" applyAlignment="1" applyProtection="1">
      <alignment horizontal="left" vertical="center"/>
      <protection hidden="1"/>
    </xf>
    <xf numFmtId="0" fontId="13" fillId="3" borderId="14" xfId="0" applyFont="1" applyFill="1" applyBorder="1" applyAlignment="1" applyProtection="1">
      <alignment horizontal="left" vertical="center"/>
      <protection hidden="1"/>
    </xf>
    <xf numFmtId="0" fontId="13" fillId="3" borderId="9" xfId="0" applyFont="1" applyFill="1" applyBorder="1" applyAlignment="1">
      <alignment horizontal="left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3" fillId="3" borderId="9" xfId="0" applyFont="1" applyFill="1" applyBorder="1" applyAlignment="1" applyProtection="1">
      <alignment horizontal="left" vertical="center"/>
      <protection hidden="1"/>
    </xf>
    <xf numFmtId="0" fontId="13" fillId="3" borderId="10" xfId="0" applyFont="1" applyFill="1" applyBorder="1" applyAlignment="1" applyProtection="1">
      <alignment horizontal="left" vertical="center"/>
      <protection hidden="1"/>
    </xf>
    <xf numFmtId="0" fontId="13" fillId="3" borderId="11" xfId="0" applyFont="1" applyFill="1" applyBorder="1" applyAlignment="1" applyProtection="1">
      <alignment horizontal="left" vertical="center"/>
      <protection hidden="1"/>
    </xf>
    <xf numFmtId="0" fontId="15" fillId="0" borderId="12" xfId="0" applyFont="1" applyBorder="1" applyAlignment="1" applyProtection="1">
      <alignment horizontal="left" vertical="center"/>
      <protection hidden="1"/>
    </xf>
    <xf numFmtId="0" fontId="15" fillId="0" borderId="0" xfId="0" applyFont="1" applyAlignment="1" applyProtection="1">
      <alignment horizontal="left" vertical="center"/>
      <protection hidden="1"/>
    </xf>
    <xf numFmtId="0" fontId="15" fillId="0" borderId="3" xfId="0" applyFont="1" applyBorder="1" applyAlignment="1" applyProtection="1">
      <alignment horizontal="left" vertical="center"/>
      <protection hidden="1"/>
    </xf>
    <xf numFmtId="0" fontId="15" fillId="0" borderId="12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5" fillId="4" borderId="13" xfId="0" applyFont="1" applyFill="1" applyBorder="1" applyAlignment="1" applyProtection="1">
      <alignment vertical="center"/>
      <protection hidden="1"/>
    </xf>
    <xf numFmtId="0" fontId="15" fillId="4" borderId="4" xfId="0" applyFont="1" applyFill="1" applyBorder="1" applyAlignment="1" applyProtection="1">
      <alignment vertical="center"/>
      <protection hidden="1"/>
    </xf>
    <xf numFmtId="0" fontId="15" fillId="4" borderId="14" xfId="0" applyFont="1" applyFill="1" applyBorder="1" applyAlignment="1" applyProtection="1">
      <alignment vertical="center"/>
      <protection hidden="1"/>
    </xf>
    <xf numFmtId="0" fontId="11" fillId="0" borderId="5" xfId="0" applyFont="1" applyBorder="1" applyAlignment="1" applyProtection="1">
      <alignment horizontal="left" vertical="center"/>
      <protection hidden="1"/>
    </xf>
    <xf numFmtId="0" fontId="11" fillId="0" borderId="6" xfId="0" applyFont="1" applyBorder="1" applyAlignment="1" applyProtection="1">
      <alignment horizontal="left" vertical="center"/>
      <protection hidden="1"/>
    </xf>
    <xf numFmtId="0" fontId="11" fillId="0" borderId="7" xfId="0" applyFont="1" applyBorder="1" applyAlignment="1" applyProtection="1">
      <alignment horizontal="left" vertical="center"/>
      <protection hidden="1"/>
    </xf>
    <xf numFmtId="0" fontId="15" fillId="4" borderId="12" xfId="0" applyFont="1" applyFill="1" applyBorder="1" applyAlignment="1" applyProtection="1">
      <alignment horizontal="left" vertical="center"/>
      <protection hidden="1"/>
    </xf>
    <xf numFmtId="0" fontId="15" fillId="4" borderId="0" xfId="0" applyFont="1" applyFill="1" applyAlignment="1" applyProtection="1">
      <alignment horizontal="left" vertical="center"/>
      <protection hidden="1"/>
    </xf>
    <xf numFmtId="0" fontId="15" fillId="4" borderId="3" xfId="0" applyFont="1" applyFill="1" applyBorder="1" applyAlignment="1" applyProtection="1">
      <alignment horizontal="left" vertical="center"/>
      <protection hidden="1"/>
    </xf>
    <xf numFmtId="0" fontId="13" fillId="3" borderId="12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0" fontId="14" fillId="3" borderId="12" xfId="0" applyFont="1" applyFill="1" applyBorder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14" fillId="3" borderId="3" xfId="0" applyFont="1" applyFill="1" applyBorder="1" applyAlignment="1">
      <alignment horizontal="left" vertical="center"/>
    </xf>
    <xf numFmtId="0" fontId="13" fillId="3" borderId="13" xfId="0" applyFont="1" applyFill="1" applyBorder="1" applyAlignment="1">
      <alignment vertical="center"/>
    </xf>
    <xf numFmtId="0" fontId="13" fillId="3" borderId="4" xfId="0" applyFont="1" applyFill="1" applyBorder="1" applyAlignment="1">
      <alignment vertical="center"/>
    </xf>
    <xf numFmtId="0" fontId="11" fillId="3" borderId="13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left" vertical="center"/>
    </xf>
    <xf numFmtId="0" fontId="11" fillId="3" borderId="14" xfId="0" applyFont="1" applyFill="1" applyBorder="1" applyAlignment="1">
      <alignment horizontal="left" vertical="center"/>
    </xf>
    <xf numFmtId="0" fontId="11" fillId="0" borderId="4" xfId="0" applyFont="1" applyBorder="1" applyAlignment="1" applyProtection="1">
      <alignment horizontal="left" vertical="center"/>
      <protection hidden="1"/>
    </xf>
    <xf numFmtId="0" fontId="11" fillId="0" borderId="14" xfId="0" applyFont="1" applyBorder="1" applyAlignment="1" applyProtection="1">
      <alignment horizontal="left" vertical="center"/>
      <protection hidden="1"/>
    </xf>
    <xf numFmtId="0" fontId="15" fillId="0" borderId="9" xfId="0" applyFont="1" applyBorder="1" applyAlignment="1" applyProtection="1">
      <alignment vertical="center"/>
      <protection hidden="1"/>
    </xf>
    <xf numFmtId="0" fontId="15" fillId="0" borderId="10" xfId="0" applyFont="1" applyBorder="1" applyAlignment="1" applyProtection="1">
      <alignment vertical="center"/>
      <protection hidden="1"/>
    </xf>
    <xf numFmtId="0" fontId="15" fillId="0" borderId="11" xfId="0" applyFont="1" applyBorder="1" applyAlignment="1" applyProtection="1">
      <alignment vertical="center"/>
      <protection hidden="1"/>
    </xf>
    <xf numFmtId="0" fontId="14" fillId="3" borderId="12" xfId="0" applyFont="1" applyFill="1" applyBorder="1" applyAlignment="1">
      <alignment vertical="center"/>
    </xf>
    <xf numFmtId="0" fontId="14" fillId="3" borderId="0" xfId="0" applyFont="1" applyFill="1" applyAlignment="1">
      <alignment vertical="center"/>
    </xf>
    <xf numFmtId="0" fontId="14" fillId="3" borderId="3" xfId="0" applyFont="1" applyFill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3" xfId="0" applyFont="1" applyBorder="1" applyAlignment="1">
      <alignment vertical="center"/>
    </xf>
    <xf numFmtId="0" fontId="13" fillId="3" borderId="3" xfId="0" applyFont="1" applyFill="1" applyBorder="1" applyAlignment="1">
      <alignment vertical="center"/>
    </xf>
    <xf numFmtId="0" fontId="8" fillId="3" borderId="13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vertical="center"/>
    </xf>
    <xf numFmtId="0" fontId="13" fillId="3" borderId="10" xfId="0" applyFont="1" applyFill="1" applyBorder="1" applyAlignment="1">
      <alignment vertical="center"/>
    </xf>
    <xf numFmtId="0" fontId="8" fillId="3" borderId="9" xfId="0" applyFont="1" applyFill="1" applyBorder="1" applyAlignment="1">
      <alignment horizontal="left" vertical="center"/>
    </xf>
    <xf numFmtId="0" fontId="8" fillId="3" borderId="10" xfId="0" applyFont="1" applyFill="1" applyBorder="1" applyAlignment="1">
      <alignment horizontal="left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12" fillId="0" borderId="0" xfId="0" applyFont="1" applyAlignment="1" applyProtection="1">
      <alignment horizontal="left" vertical="center" wrapText="1"/>
      <protection locked="0"/>
    </xf>
    <xf numFmtId="0" fontId="13" fillId="3" borderId="11" xfId="0" applyFont="1" applyFill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63A75E5E-B709-45F8-AB07-CBF9683DE686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7667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1598113C-F676-4CBF-8329-E0E3A86DC88D}"/>
            </a:ext>
          </a:extLst>
        </xdr:cNvPr>
        <xdr:cNvSpPr/>
      </xdr:nvSpPr>
      <xdr:spPr>
        <a:xfrm>
          <a:off x="484220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A3296E1D-D428-4250-8D5D-C7D38A548B20}"/>
            </a:ext>
          </a:extLst>
        </xdr:cNvPr>
        <xdr:cNvSpPr>
          <a:spLocks noChangeArrowheads="1"/>
        </xdr:cNvSpPr>
      </xdr:nvSpPr>
      <xdr:spPr bwMode="auto">
        <a:xfrm>
          <a:off x="3911599" y="87089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586202</xdr:colOff>
      <xdr:row>50</xdr:row>
      <xdr:rowOff>139730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29795E7A-C2C2-446F-AEAE-6469FD83B28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643852" y="7959755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570F7105-F577-4EAF-B6DC-9711B3777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783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68</xdr:row>
      <xdr:rowOff>67408</xdr:rowOff>
    </xdr:from>
    <xdr:to>
      <xdr:col>7</xdr:col>
      <xdr:colOff>285750</xdr:colOff>
      <xdr:row>71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7AEA4A19-5E2D-4C20-8E13-FF2A1D79A1F6}"/>
            </a:ext>
          </a:extLst>
        </xdr:cNvPr>
        <xdr:cNvSpPr>
          <a:spLocks noChangeArrowheads="1"/>
        </xdr:cNvSpPr>
      </xdr:nvSpPr>
      <xdr:spPr bwMode="auto">
        <a:xfrm>
          <a:off x="204493" y="10783033"/>
          <a:ext cx="6005807" cy="5612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  </a:t>
          </a:r>
          <a:r>
            <a:rPr lang="es-PE" sz="900" b="1" i="0" u="none" strike="noStrike" baseline="0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900" b="1" i="0" u="none" strike="noStrike" baseline="0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900" b="1" i="0" u="none" strike="noStrike" baseline="0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algn="l" rtl="0">
            <a:defRPr sz="1000"/>
          </a:pPr>
          <a:endParaRPr lang="es-PE" sz="1150" b="1" i="0" u="none" strike="noStrike" baseline="0">
            <a:solidFill>
              <a:srgbClr val="FFFFFF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76FDF712-0D72-4CEA-8802-6298B8AA6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CE2ECED0-F628-4B01-A3E7-E2E99C331B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9433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FF470-9D2E-4D44-B81D-1931E1B6FAF8}">
  <sheetPr>
    <tabColor theme="1"/>
    <pageSetUpPr fitToPage="1"/>
  </sheetPr>
  <dimension ref="A3:H74"/>
  <sheetViews>
    <sheetView showGridLines="0" tabSelected="1" view="pageBreakPreview" topLeftCell="A53" zoomScale="115" zoomScaleNormal="70" zoomScaleSheetLayoutView="115" workbookViewId="0">
      <selection activeCell="A66" sqref="A66:XFD68"/>
    </sheetView>
  </sheetViews>
  <sheetFormatPr baseColWidth="10" defaultColWidth="11.42578125" defaultRowHeight="15" x14ac:dyDescent="0.25"/>
  <cols>
    <col min="1" max="1" width="10" customWidth="1"/>
    <col min="4" max="4" width="14.285156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126" t="s">
        <v>101</v>
      </c>
      <c r="E4" s="126"/>
      <c r="F4" s="126"/>
      <c r="G4" s="2"/>
    </row>
    <row r="5" spans="1:8" ht="11.25" customHeight="1" x14ac:dyDescent="0.25">
      <c r="C5" s="1" t="s">
        <v>2</v>
      </c>
      <c r="D5" s="127" t="s">
        <v>102</v>
      </c>
      <c r="E5" s="127"/>
      <c r="F5" s="127"/>
      <c r="G5" s="3"/>
    </row>
    <row r="6" spans="1:8" ht="11.25" customHeight="1" x14ac:dyDescent="0.25">
      <c r="C6" s="3" t="s">
        <v>3</v>
      </c>
      <c r="D6" s="128" t="s">
        <v>100</v>
      </c>
      <c r="E6" s="128"/>
      <c r="F6" s="128"/>
      <c r="G6" s="4"/>
    </row>
    <row r="7" spans="1:8" ht="12" customHeight="1" x14ac:dyDescent="0.25">
      <c r="C7" s="3" t="s">
        <v>4</v>
      </c>
      <c r="D7" s="129" t="s">
        <v>99</v>
      </c>
      <c r="E7" s="129"/>
      <c r="F7" s="129"/>
      <c r="G7" s="4"/>
    </row>
    <row r="8" spans="1:8" ht="10.5" customHeight="1" x14ac:dyDescent="0.25">
      <c r="A8" s="130"/>
      <c r="B8" s="130"/>
      <c r="C8" s="130"/>
      <c r="D8" s="130"/>
      <c r="E8" s="130"/>
      <c r="F8" s="130"/>
      <c r="G8" s="130"/>
      <c r="H8" s="130"/>
    </row>
    <row r="9" spans="1:8" s="5" customFormat="1" ht="15.95" customHeight="1" x14ac:dyDescent="0.25">
      <c r="B9" s="125" t="s">
        <v>5</v>
      </c>
      <c r="C9" s="125"/>
      <c r="D9" s="125"/>
      <c r="E9" s="125"/>
      <c r="F9" s="125"/>
      <c r="G9" s="125"/>
      <c r="H9" s="6"/>
    </row>
    <row r="10" spans="1:8" s="5" customFormat="1" ht="15.75" customHeight="1" x14ac:dyDescent="0.25">
      <c r="B10" s="125"/>
      <c r="C10" s="125"/>
      <c r="D10" s="125"/>
      <c r="E10" s="125"/>
      <c r="F10" s="125"/>
      <c r="G10" s="125"/>
      <c r="H10" s="6"/>
    </row>
    <row r="11" spans="1:8" s="11" customFormat="1" ht="12" customHeight="1" x14ac:dyDescent="0.25">
      <c r="A11" s="7" t="s">
        <v>6</v>
      </c>
      <c r="B11" s="116" t="s">
        <v>7</v>
      </c>
      <c r="C11" s="116"/>
      <c r="D11" s="116"/>
      <c r="E11" s="116"/>
      <c r="F11" s="8" t="s">
        <v>8</v>
      </c>
      <c r="G11" s="9"/>
      <c r="H11" s="10"/>
    </row>
    <row r="12" spans="1:8" s="11" customFormat="1" ht="12" customHeight="1" x14ac:dyDescent="0.25">
      <c r="A12" s="7"/>
      <c r="B12" s="116"/>
      <c r="C12" s="116"/>
      <c r="D12" s="116"/>
      <c r="E12" s="116"/>
      <c r="F12" s="116"/>
      <c r="G12" s="116"/>
      <c r="H12" s="10"/>
    </row>
    <row r="13" spans="1:8" s="11" customFormat="1" ht="12" customHeight="1" x14ac:dyDescent="0.25">
      <c r="A13" s="12"/>
      <c r="B13" s="116"/>
      <c r="C13" s="116"/>
      <c r="D13" s="116"/>
      <c r="E13" s="116"/>
      <c r="F13" s="116"/>
      <c r="G13" s="116"/>
      <c r="H13" s="10"/>
    </row>
    <row r="14" spans="1:8" s="11" customFormat="1" ht="12" customHeight="1" x14ac:dyDescent="0.25">
      <c r="A14" s="7" t="s">
        <v>98</v>
      </c>
      <c r="B14" s="38"/>
      <c r="C14" s="13" t="s">
        <v>9</v>
      </c>
      <c r="D14" s="14"/>
      <c r="E14" s="15" t="s">
        <v>10</v>
      </c>
      <c r="F14" s="13" t="s">
        <v>11</v>
      </c>
      <c r="G14" s="16"/>
      <c r="H14" s="10"/>
    </row>
    <row r="15" spans="1:8" s="11" customFormat="1" ht="12" customHeight="1" x14ac:dyDescent="0.25">
      <c r="A15" s="7" t="s">
        <v>12</v>
      </c>
      <c r="B15" s="116"/>
      <c r="C15" s="116"/>
      <c r="D15" s="116"/>
      <c r="E15" s="116"/>
      <c r="F15" s="13" t="s">
        <v>13</v>
      </c>
      <c r="G15" s="16"/>
      <c r="H15" s="10"/>
    </row>
    <row r="16" spans="1:8" s="11" customFormat="1" ht="12" customHeight="1" x14ac:dyDescent="0.25">
      <c r="A16" s="12"/>
      <c r="B16" s="117"/>
      <c r="C16" s="117"/>
      <c r="D16" s="117"/>
      <c r="E16" s="117"/>
      <c r="F16" s="13" t="s">
        <v>14</v>
      </c>
      <c r="G16" s="17"/>
      <c r="H16" s="10"/>
    </row>
    <row r="17" spans="1:8" s="11" customFormat="1" ht="12" customHeight="1" x14ac:dyDescent="0.25">
      <c r="A17" s="7" t="s">
        <v>15</v>
      </c>
      <c r="B17" s="116"/>
      <c r="C17" s="116"/>
      <c r="D17" s="18" t="s">
        <v>16</v>
      </c>
      <c r="E17" s="19">
        <f ca="1">TODAY()</f>
        <v>46268</v>
      </c>
      <c r="F17" s="15"/>
      <c r="G17" s="15"/>
      <c r="H17" s="15"/>
    </row>
    <row r="18" spans="1:8" s="11" customFormat="1" ht="12" customHeight="1" x14ac:dyDescent="0.25">
      <c r="A18" s="20"/>
      <c r="B18" s="118"/>
      <c r="C18" s="118"/>
      <c r="D18" s="118"/>
      <c r="E18" s="118"/>
      <c r="F18" s="118"/>
      <c r="G18" s="118"/>
      <c r="H18" s="20"/>
    </row>
    <row r="19" spans="1:8" s="23" customFormat="1" ht="12" customHeight="1" x14ac:dyDescent="0.25">
      <c r="A19" s="21"/>
      <c r="B19" s="119" t="s">
        <v>17</v>
      </c>
      <c r="C19" s="120"/>
      <c r="D19" s="121"/>
      <c r="E19" s="122"/>
      <c r="F19" s="123"/>
      <c r="G19" s="22"/>
      <c r="H19" s="22"/>
    </row>
    <row r="20" spans="1:8" s="23" customFormat="1" ht="12" customHeight="1" x14ac:dyDescent="0.25">
      <c r="A20" s="10"/>
      <c r="B20" s="119" t="s">
        <v>18</v>
      </c>
      <c r="C20" s="120"/>
      <c r="D20" s="120"/>
      <c r="E20" s="112" t="s">
        <v>19</v>
      </c>
      <c r="F20" s="113"/>
      <c r="G20" s="124"/>
      <c r="H20" s="10"/>
    </row>
    <row r="21" spans="1:8" s="23" customFormat="1" ht="12" customHeight="1" x14ac:dyDescent="0.25">
      <c r="A21" s="10"/>
      <c r="B21" s="114" t="s">
        <v>20</v>
      </c>
      <c r="C21" s="115"/>
      <c r="D21" s="115"/>
      <c r="E21" s="88" t="s">
        <v>21</v>
      </c>
      <c r="F21" s="89"/>
      <c r="G21" s="109"/>
      <c r="H21" s="10"/>
    </row>
    <row r="22" spans="1:8" s="23" customFormat="1" ht="12" customHeight="1" x14ac:dyDescent="0.25">
      <c r="A22" s="10"/>
      <c r="B22" s="110" t="s">
        <v>22</v>
      </c>
      <c r="C22" s="111"/>
      <c r="D22" s="111"/>
      <c r="E22" s="88" t="s">
        <v>23</v>
      </c>
      <c r="F22" s="89"/>
      <c r="G22" s="109"/>
      <c r="H22" s="10"/>
    </row>
    <row r="23" spans="1:8" s="23" customFormat="1" ht="12" customHeight="1" x14ac:dyDescent="0.25">
      <c r="A23" s="10"/>
      <c r="B23" s="82" t="s">
        <v>24</v>
      </c>
      <c r="C23" s="83"/>
      <c r="D23" s="83"/>
      <c r="E23" s="88" t="s">
        <v>25</v>
      </c>
      <c r="F23" s="89"/>
      <c r="G23" s="109"/>
      <c r="H23" s="10"/>
    </row>
    <row r="24" spans="1:8" s="23" customFormat="1" ht="12" customHeight="1" x14ac:dyDescent="0.25">
      <c r="A24" s="10"/>
      <c r="B24" s="112" t="s">
        <v>26</v>
      </c>
      <c r="C24" s="113"/>
      <c r="D24" s="113"/>
      <c r="E24" s="88" t="s">
        <v>27</v>
      </c>
      <c r="F24" s="89"/>
      <c r="G24" s="109"/>
      <c r="H24" s="10"/>
    </row>
    <row r="25" spans="1:8" s="23" customFormat="1" ht="12" customHeight="1" x14ac:dyDescent="0.25">
      <c r="A25" s="24"/>
      <c r="B25" s="88" t="s">
        <v>28</v>
      </c>
      <c r="C25" s="89"/>
      <c r="D25" s="89"/>
      <c r="E25" s="88" t="s">
        <v>29</v>
      </c>
      <c r="F25" s="89"/>
      <c r="G25" s="109"/>
      <c r="H25" s="10"/>
    </row>
    <row r="26" spans="1:8" s="23" customFormat="1" ht="12" customHeight="1" x14ac:dyDescent="0.25">
      <c r="A26" s="25"/>
      <c r="B26" s="88" t="s">
        <v>30</v>
      </c>
      <c r="C26" s="89"/>
      <c r="D26" s="89"/>
      <c r="E26" s="88" t="s">
        <v>31</v>
      </c>
      <c r="F26" s="89"/>
      <c r="G26" s="109"/>
      <c r="H26" s="10"/>
    </row>
    <row r="27" spans="1:8" s="23" customFormat="1" ht="12" customHeight="1" x14ac:dyDescent="0.25">
      <c r="A27" s="25"/>
      <c r="B27" s="88" t="s">
        <v>32</v>
      </c>
      <c r="C27" s="89"/>
      <c r="D27" s="89"/>
      <c r="E27" s="88" t="s">
        <v>33</v>
      </c>
      <c r="F27" s="89"/>
      <c r="G27" s="109"/>
      <c r="H27" s="10"/>
    </row>
    <row r="28" spans="1:8" s="23" customFormat="1" ht="12" customHeight="1" x14ac:dyDescent="0.25">
      <c r="A28" s="25"/>
      <c r="B28" s="88" t="s">
        <v>34</v>
      </c>
      <c r="C28" s="89"/>
      <c r="D28" s="89"/>
      <c r="E28" s="55" t="s">
        <v>35</v>
      </c>
      <c r="F28" s="56"/>
      <c r="G28" s="57"/>
      <c r="H28" s="10"/>
    </row>
    <row r="29" spans="1:8" s="23" customFormat="1" ht="12" customHeight="1" x14ac:dyDescent="0.25">
      <c r="A29" s="26"/>
      <c r="B29" s="88" t="s">
        <v>36</v>
      </c>
      <c r="C29" s="89"/>
      <c r="D29" s="89"/>
      <c r="E29" s="103" t="s">
        <v>37</v>
      </c>
      <c r="F29" s="104"/>
      <c r="G29" s="105"/>
      <c r="H29" s="10"/>
    </row>
    <row r="30" spans="1:8" s="23" customFormat="1" ht="12" customHeight="1" x14ac:dyDescent="0.25">
      <c r="A30" s="26"/>
      <c r="B30" s="88" t="s">
        <v>38</v>
      </c>
      <c r="C30" s="89"/>
      <c r="D30" s="89"/>
      <c r="E30" s="106"/>
      <c r="F30" s="107"/>
      <c r="G30" s="108"/>
      <c r="H30" s="10"/>
    </row>
    <row r="31" spans="1:8" s="23" customFormat="1" ht="12" customHeight="1" x14ac:dyDescent="0.25">
      <c r="A31" s="27"/>
      <c r="B31" s="88" t="s">
        <v>39</v>
      </c>
      <c r="C31" s="89"/>
      <c r="D31" s="89"/>
      <c r="E31" s="90" t="s">
        <v>40</v>
      </c>
      <c r="F31" s="91"/>
      <c r="G31" s="92"/>
      <c r="H31" s="10"/>
    </row>
    <row r="32" spans="1:8" s="23" customFormat="1" ht="12" customHeight="1" x14ac:dyDescent="0.25">
      <c r="A32" s="10"/>
      <c r="B32" s="88" t="s">
        <v>41</v>
      </c>
      <c r="C32" s="89"/>
      <c r="D32" s="89"/>
      <c r="E32" s="90" t="s">
        <v>42</v>
      </c>
      <c r="F32" s="91"/>
      <c r="G32" s="92"/>
      <c r="H32" s="10"/>
    </row>
    <row r="33" spans="1:8" s="23" customFormat="1" ht="12" customHeight="1" x14ac:dyDescent="0.25">
      <c r="A33" s="10"/>
      <c r="B33" s="93" t="s">
        <v>43</v>
      </c>
      <c r="C33" s="94"/>
      <c r="D33" s="94"/>
      <c r="E33" s="95" t="s">
        <v>44</v>
      </c>
      <c r="F33" s="96"/>
      <c r="G33" s="97"/>
      <c r="H33" s="10"/>
    </row>
    <row r="34" spans="1:8" s="23" customFormat="1" ht="12" customHeight="1" x14ac:dyDescent="0.25">
      <c r="A34" s="10"/>
      <c r="B34" s="82" t="s">
        <v>45</v>
      </c>
      <c r="C34" s="83"/>
      <c r="D34" s="83"/>
      <c r="E34" s="98"/>
      <c r="F34" s="98"/>
      <c r="G34" s="99"/>
      <c r="H34" s="10"/>
    </row>
    <row r="35" spans="1:8" s="23" customFormat="1" ht="12" customHeight="1" x14ac:dyDescent="0.25">
      <c r="A35" s="10"/>
      <c r="B35" s="100" t="s">
        <v>46</v>
      </c>
      <c r="C35" s="101"/>
      <c r="D35" s="102"/>
      <c r="E35" s="70" t="s">
        <v>47</v>
      </c>
      <c r="F35" s="71"/>
      <c r="G35" s="72"/>
      <c r="H35" s="10"/>
    </row>
    <row r="36" spans="1:8" s="23" customFormat="1" ht="12" customHeight="1" x14ac:dyDescent="0.25">
      <c r="A36" s="10"/>
      <c r="B36" s="73" t="s">
        <v>48</v>
      </c>
      <c r="C36" s="74"/>
      <c r="D36" s="75"/>
      <c r="E36" s="85" t="s">
        <v>49</v>
      </c>
      <c r="F36" s="86"/>
      <c r="G36" s="87"/>
      <c r="H36" s="10"/>
    </row>
    <row r="37" spans="1:8" s="23" customFormat="1" ht="12" customHeight="1" x14ac:dyDescent="0.25">
      <c r="A37" s="10"/>
      <c r="B37" s="73" t="s">
        <v>50</v>
      </c>
      <c r="C37" s="74"/>
      <c r="D37" s="75"/>
      <c r="E37" s="85" t="s">
        <v>51</v>
      </c>
      <c r="F37" s="86"/>
      <c r="G37" s="87"/>
      <c r="H37" s="10"/>
    </row>
    <row r="38" spans="1:8" s="23" customFormat="1" ht="12" customHeight="1" x14ac:dyDescent="0.25">
      <c r="A38" s="10"/>
      <c r="B38" s="73" t="s">
        <v>52</v>
      </c>
      <c r="C38" s="74"/>
      <c r="D38" s="75"/>
      <c r="E38" s="85" t="s">
        <v>53</v>
      </c>
      <c r="F38" s="86"/>
      <c r="G38" s="87"/>
      <c r="H38" s="10"/>
    </row>
    <row r="39" spans="1:8" s="23" customFormat="1" ht="12" customHeight="1" x14ac:dyDescent="0.25">
      <c r="A39" s="10"/>
      <c r="B39" s="73" t="s">
        <v>54</v>
      </c>
      <c r="C39" s="74"/>
      <c r="D39" s="75"/>
      <c r="E39" s="73" t="s">
        <v>55</v>
      </c>
      <c r="F39" s="74"/>
      <c r="G39" s="75"/>
      <c r="H39" s="10"/>
    </row>
    <row r="40" spans="1:8" s="23" customFormat="1" ht="12" customHeight="1" x14ac:dyDescent="0.25">
      <c r="A40" s="10"/>
      <c r="B40" s="73" t="s">
        <v>56</v>
      </c>
      <c r="C40" s="74"/>
      <c r="D40" s="75"/>
      <c r="E40" s="73" t="s">
        <v>57</v>
      </c>
      <c r="F40" s="74"/>
      <c r="G40" s="75"/>
      <c r="H40" s="10"/>
    </row>
    <row r="41" spans="1:8" s="23" customFormat="1" ht="12" customHeight="1" x14ac:dyDescent="0.25">
      <c r="B41" s="58" t="s">
        <v>58</v>
      </c>
      <c r="C41" s="59"/>
      <c r="D41" s="60"/>
      <c r="E41" s="58" t="s">
        <v>59</v>
      </c>
      <c r="F41" s="59"/>
      <c r="G41" s="60"/>
      <c r="H41" s="10"/>
    </row>
    <row r="42" spans="1:8" s="23" customFormat="1" ht="12" customHeight="1" x14ac:dyDescent="0.25">
      <c r="A42" s="10"/>
      <c r="B42" s="73" t="s">
        <v>60</v>
      </c>
      <c r="C42" s="74"/>
      <c r="D42" s="75"/>
      <c r="E42" s="55" t="s">
        <v>61</v>
      </c>
      <c r="F42" s="56"/>
      <c r="G42" s="57"/>
      <c r="H42" s="10"/>
    </row>
    <row r="43" spans="1:8" s="23" customFormat="1" ht="12" customHeight="1" x14ac:dyDescent="0.25">
      <c r="A43" s="10"/>
      <c r="B43" s="73" t="s">
        <v>62</v>
      </c>
      <c r="C43" s="74"/>
      <c r="D43" s="75"/>
      <c r="E43" s="76" t="s">
        <v>63</v>
      </c>
      <c r="F43" s="77"/>
      <c r="G43" s="78"/>
      <c r="H43" s="10"/>
    </row>
    <row r="44" spans="1:8" s="23" customFormat="1" ht="12" customHeight="1" x14ac:dyDescent="0.25">
      <c r="A44" s="10"/>
      <c r="B44" s="58" t="s">
        <v>64</v>
      </c>
      <c r="C44" s="59"/>
      <c r="D44" s="60"/>
      <c r="E44" s="76" t="s">
        <v>65</v>
      </c>
      <c r="F44" s="77"/>
      <c r="G44" s="78"/>
      <c r="H44" s="10"/>
    </row>
    <row r="45" spans="1:8" s="23" customFormat="1" ht="12" customHeight="1" x14ac:dyDescent="0.25">
      <c r="A45" s="10"/>
      <c r="B45" s="64" t="s">
        <v>66</v>
      </c>
      <c r="C45" s="65"/>
      <c r="D45" s="66"/>
      <c r="E45" s="79" t="s">
        <v>67</v>
      </c>
      <c r="F45" s="80"/>
      <c r="G45" s="81"/>
      <c r="H45" s="10"/>
    </row>
    <row r="46" spans="1:8" s="23" customFormat="1" ht="12" customHeight="1" x14ac:dyDescent="0.2">
      <c r="B46" s="82" t="s">
        <v>68</v>
      </c>
      <c r="C46" s="83"/>
      <c r="D46" s="83"/>
      <c r="E46" s="83"/>
      <c r="F46" s="83"/>
      <c r="G46" s="84"/>
    </row>
    <row r="47" spans="1:8" s="23" customFormat="1" ht="12" customHeight="1" x14ac:dyDescent="0.2">
      <c r="B47" s="67" t="s">
        <v>69</v>
      </c>
      <c r="C47" s="68"/>
      <c r="D47" s="69"/>
      <c r="E47" s="70" t="s">
        <v>70</v>
      </c>
      <c r="F47" s="71"/>
      <c r="G47" s="72"/>
    </row>
    <row r="48" spans="1:8" s="23" customFormat="1" ht="12" customHeight="1" x14ac:dyDescent="0.2">
      <c r="B48" s="55" t="s">
        <v>71</v>
      </c>
      <c r="C48" s="56"/>
      <c r="D48" s="57"/>
      <c r="E48" s="58" t="s">
        <v>72</v>
      </c>
      <c r="F48" s="59"/>
      <c r="G48" s="60"/>
    </row>
    <row r="49" spans="1:8" s="23" customFormat="1" ht="12" customHeight="1" x14ac:dyDescent="0.2">
      <c r="B49" s="55" t="s">
        <v>73</v>
      </c>
      <c r="C49" s="56"/>
      <c r="D49" s="57"/>
      <c r="E49" s="58" t="s">
        <v>74</v>
      </c>
      <c r="F49" s="59"/>
      <c r="G49" s="60"/>
    </row>
    <row r="50" spans="1:8" s="23" customFormat="1" ht="12" customHeight="1" x14ac:dyDescent="0.2">
      <c r="B50" s="61" t="s">
        <v>75</v>
      </c>
      <c r="C50" s="62"/>
      <c r="D50" s="63"/>
      <c r="E50" s="64" t="s">
        <v>76</v>
      </c>
      <c r="F50" s="65"/>
      <c r="G50" s="66"/>
    </row>
    <row r="51" spans="1:8" s="23" customFormat="1" ht="12" customHeight="1" x14ac:dyDescent="0.2">
      <c r="B51" s="48"/>
      <c r="C51" s="48"/>
      <c r="D51" s="48"/>
      <c r="E51" s="48"/>
      <c r="F51" s="48"/>
      <c r="G51" s="48"/>
    </row>
    <row r="52" spans="1:8" s="23" customFormat="1" ht="12" customHeight="1" x14ac:dyDescent="0.2">
      <c r="B52" s="28" t="s">
        <v>77</v>
      </c>
      <c r="C52" s="49"/>
      <c r="D52" s="49"/>
      <c r="E52" s="49"/>
      <c r="F52" s="49"/>
      <c r="G52" s="49"/>
    </row>
    <row r="53" spans="1:8" s="23" customFormat="1" ht="12" customHeight="1" x14ac:dyDescent="0.2">
      <c r="B53" s="50"/>
      <c r="C53" s="50"/>
      <c r="D53" s="50"/>
      <c r="E53" s="50"/>
      <c r="F53" s="50"/>
      <c r="G53" s="50"/>
    </row>
    <row r="54" spans="1:8" s="23" customFormat="1" ht="12" customHeight="1" x14ac:dyDescent="0.2">
      <c r="B54" s="50"/>
      <c r="C54" s="50"/>
      <c r="D54" s="50"/>
      <c r="E54" s="50"/>
      <c r="F54" s="50"/>
      <c r="G54" s="50"/>
    </row>
    <row r="55" spans="1:8" s="23" customFormat="1" ht="12" customHeight="1" x14ac:dyDescent="0.2">
      <c r="B55" s="50"/>
      <c r="C55" s="50"/>
      <c r="D55" s="50"/>
      <c r="E55" s="50"/>
      <c r="F55" s="50"/>
      <c r="G55" s="50"/>
    </row>
    <row r="56" spans="1:8" s="23" customFormat="1" ht="12" customHeight="1" x14ac:dyDescent="0.25">
      <c r="A56" s="21"/>
      <c r="B56" s="51" t="s">
        <v>78</v>
      </c>
      <c r="C56" s="51"/>
      <c r="D56" s="51"/>
      <c r="E56" s="51"/>
      <c r="F56" s="51"/>
      <c r="G56" s="51"/>
      <c r="H56" s="22"/>
    </row>
    <row r="57" spans="1:8" s="23" customFormat="1" ht="12" customHeight="1" x14ac:dyDescent="0.25">
      <c r="A57" s="22"/>
      <c r="B57" s="52" t="s">
        <v>79</v>
      </c>
      <c r="C57" s="52"/>
      <c r="D57" s="29">
        <v>15</v>
      </c>
      <c r="E57" s="20" t="s">
        <v>80</v>
      </c>
      <c r="F57" s="20"/>
      <c r="G57" s="20"/>
      <c r="H57" s="22"/>
    </row>
    <row r="58" spans="1:8" s="23" customFormat="1" ht="12" customHeight="1" x14ac:dyDescent="0.25">
      <c r="A58" s="21"/>
      <c r="B58" s="51" t="s">
        <v>81</v>
      </c>
      <c r="C58" s="51"/>
      <c r="D58" s="51"/>
      <c r="E58" s="51"/>
      <c r="F58" s="51"/>
      <c r="G58" s="51"/>
      <c r="H58" s="22"/>
    </row>
    <row r="59" spans="1:8" s="23" customFormat="1" ht="12" customHeight="1" x14ac:dyDescent="0.25">
      <c r="A59" s="22"/>
      <c r="B59" s="53" t="s">
        <v>82</v>
      </c>
      <c r="C59" s="53"/>
      <c r="D59" s="31">
        <f>C61+C63+C62</f>
        <v>0</v>
      </c>
      <c r="E59" s="54" t="s">
        <v>83</v>
      </c>
      <c r="F59" s="54"/>
      <c r="G59" s="20"/>
      <c r="H59" s="22"/>
    </row>
    <row r="60" spans="1:8" s="23" customFormat="1" ht="12" customHeight="1" x14ac:dyDescent="0.25">
      <c r="A60" s="21"/>
      <c r="B60" s="51" t="s">
        <v>84</v>
      </c>
      <c r="C60" s="51"/>
      <c r="D60" s="51"/>
      <c r="E60" s="51"/>
      <c r="F60" s="51"/>
      <c r="G60" s="51"/>
      <c r="H60" s="22"/>
    </row>
    <row r="61" spans="1:8" ht="12" customHeight="1" x14ac:dyDescent="0.25">
      <c r="A61" s="22"/>
      <c r="B61" s="30" t="s">
        <v>95</v>
      </c>
      <c r="C61" s="31"/>
      <c r="D61" s="46" t="s">
        <v>94</v>
      </c>
      <c r="E61" s="47"/>
      <c r="F61" s="47"/>
      <c r="G61" s="32">
        <f ca="1">E17</f>
        <v>46268</v>
      </c>
      <c r="H61" s="22"/>
    </row>
    <row r="62" spans="1:8" ht="12" customHeight="1" x14ac:dyDescent="0.25">
      <c r="A62" s="22"/>
      <c r="B62" s="30" t="s">
        <v>96</v>
      </c>
      <c r="C62" s="31"/>
      <c r="D62" s="42" t="s">
        <v>85</v>
      </c>
      <c r="E62" s="42"/>
      <c r="F62" s="42"/>
      <c r="G62" s="32">
        <f ca="1">G61+15</f>
        <v>46283</v>
      </c>
      <c r="H62" s="33" t="s">
        <v>86</v>
      </c>
    </row>
    <row r="63" spans="1:8" ht="12" customHeight="1" x14ac:dyDescent="0.25">
      <c r="A63" s="22"/>
      <c r="B63" s="30" t="s">
        <v>97</v>
      </c>
      <c r="C63" s="34"/>
      <c r="D63" s="43" t="s">
        <v>87</v>
      </c>
      <c r="E63" s="43"/>
      <c r="F63" s="43"/>
      <c r="G63" s="32">
        <f ca="1">E17+23</f>
        <v>46291</v>
      </c>
      <c r="H63" s="33" t="s">
        <v>86</v>
      </c>
    </row>
    <row r="64" spans="1:8" ht="12" customHeight="1" x14ac:dyDescent="0.25">
      <c r="A64" s="10"/>
      <c r="B64" s="44" t="s">
        <v>88</v>
      </c>
      <c r="C64" s="44"/>
      <c r="D64" s="44"/>
      <c r="E64" s="44"/>
      <c r="F64" s="44"/>
      <c r="G64" s="44"/>
      <c r="H64" s="35"/>
    </row>
    <row r="65" spans="1:8" ht="12" customHeight="1" x14ac:dyDescent="0.25">
      <c r="A65" s="36" t="s">
        <v>89</v>
      </c>
      <c r="B65" s="45" t="s">
        <v>90</v>
      </c>
      <c r="C65" s="45"/>
      <c r="D65" s="45"/>
      <c r="E65" s="45"/>
      <c r="F65" s="45"/>
      <c r="G65" s="45"/>
      <c r="H65" s="23"/>
    </row>
    <row r="66" spans="1:8" ht="12" customHeight="1" x14ac:dyDescent="0.25">
      <c r="B66" s="41" t="s">
        <v>103</v>
      </c>
      <c r="C66" s="41"/>
      <c r="D66" s="41"/>
      <c r="E66" s="41"/>
      <c r="F66" s="41" t="s">
        <v>91</v>
      </c>
      <c r="G66" s="41"/>
      <c r="H66" s="41"/>
    </row>
    <row r="67" spans="1:8" ht="12" customHeight="1" x14ac:dyDescent="0.25">
      <c r="B67" s="40" t="s">
        <v>104</v>
      </c>
      <c r="C67" s="40"/>
      <c r="D67" s="40"/>
      <c r="E67" s="39"/>
      <c r="F67" s="41" t="s">
        <v>92</v>
      </c>
      <c r="G67" s="41"/>
      <c r="H67" s="41"/>
    </row>
    <row r="68" spans="1:8" ht="12" customHeight="1" x14ac:dyDescent="0.25">
      <c r="B68" s="40" t="s">
        <v>105</v>
      </c>
      <c r="C68" s="40"/>
      <c r="D68" s="40"/>
      <c r="E68" s="39"/>
      <c r="F68" s="41" t="s">
        <v>93</v>
      </c>
      <c r="G68" s="41"/>
      <c r="H68" s="41"/>
    </row>
    <row r="69" spans="1:8" ht="15" customHeight="1" x14ac:dyDescent="0.25">
      <c r="B69" s="37"/>
      <c r="C69" s="37"/>
      <c r="D69" s="37"/>
      <c r="E69" s="37"/>
      <c r="F69" s="37"/>
      <c r="G69" s="37"/>
      <c r="H69" s="37"/>
    </row>
    <row r="70" spans="1:8" ht="15" customHeight="1" x14ac:dyDescent="0.25"/>
    <row r="71" spans="1:8" ht="15" customHeight="1" x14ac:dyDescent="0.25"/>
    <row r="72" spans="1:8" ht="15" customHeight="1" x14ac:dyDescent="0.25"/>
    <row r="73" spans="1:8" ht="15" customHeight="1" x14ac:dyDescent="0.25"/>
    <row r="74" spans="1:8" ht="15" customHeight="1" x14ac:dyDescent="0.25"/>
  </sheetData>
  <protectedRanges>
    <protectedRange algorithmName="SHA-512" hashValue="jRsd99E24Wg0cREusBHWfr8AogbmoKcBAiIEI/AkVrYZ6d3Zv1r365CvDnomnIuIagvCXHSwta3CL7/ZYpI/1A==" saltValue="4GoUJy3q9tod8g93O8nnng==" spinCount="100000" sqref="B17:C17 E17 G15 G16:H16 D14 B14 B13:H13" name="Rango1"/>
    <protectedRange algorithmName="SHA-512" hashValue="1IwEtpPovyRjspz9ti3J5udl070IPZ9gDlGmM3ZH/lFyQlLVVL2qbaMds7kHvZZkPq7VvowLV2MqpNnf8owpjQ==" saltValue="SwYyjj//I75seGLqQP0hyQ==" spinCount="100000" sqref="B36:D37" name="Rango2_1"/>
    <protectedRange algorithmName="SHA-512" hashValue="jRsd99E24Wg0cREusBHWfr8AogbmoKcBAiIEI/AkVrYZ6d3Zv1r365CvDnomnIuIagvCXHSwta3CL7/ZYpI/1A==" saltValue="4GoUJy3q9tod8g93O8nnng==" spinCount="100000" sqref="B45:D45" name="Rango1_2"/>
    <protectedRange algorithmName="SHA-512" hashValue="jRsd99E24Wg0cREusBHWfr8AogbmoKcBAiIEI/AkVrYZ6d3Zv1r365CvDnomnIuIagvCXHSwta3CL7/ZYpI/1A==" saltValue="4GoUJy3q9tod8g93O8nnng==" spinCount="100000" sqref="E45:F45 E35:G41" name="Rango1_3"/>
    <protectedRange algorithmName="SHA-512" hashValue="AvALmQbaBHPy/2D6NWeVBUXqKrVf5+JMiV0rv9ctsh3U+v+jJx3afL0wo26AWqHiVPRHYNv0n+KWylatMMGOjQ==" saltValue="Ch+TBLTSso8GOLDPE2CwFQ==" spinCount="100000" sqref="E19:F19" name="Rango1_4"/>
    <protectedRange algorithmName="SHA-512" hashValue="AvALmQbaBHPy/2D6NWeVBUXqKrVf5+JMiV0rv9ctsh3U+v+jJx3afL0wo26AWqHiVPRHYNv0n+KWylatMMGOjQ==" saltValue="Ch+TBLTSso8GOLDPE2CwFQ==" spinCount="100000" sqref="E28:G28" name="Rango1_5"/>
    <protectedRange algorithmName="SHA-512" hashValue="AvALmQbaBHPy/2D6NWeVBUXqKrVf5+JMiV0rv9ctsh3U+v+jJx3afL0wo26AWqHiVPRHYNv0n+KWylatMMGOjQ==" saltValue="Ch+TBLTSso8GOLDPE2CwFQ==" spinCount="100000" sqref="E31:G31 E33" name="Rango1_7"/>
    <protectedRange algorithmName="SHA-512" hashValue="AvALmQbaBHPy/2D6NWeVBUXqKrVf5+JMiV0rv9ctsh3U+v+jJx3afL0wo26AWqHiVPRHYNv0n+KWylatMMGOjQ==" saltValue="Ch+TBLTSso8GOLDPE2CwFQ==" spinCount="100000" sqref="E32:G32" name="Rango1_2_2"/>
    <protectedRange algorithmName="SHA-512" hashValue="AvALmQbaBHPy/2D6NWeVBUXqKrVf5+JMiV0rv9ctsh3U+v+jJx3afL0wo26AWqHiVPRHYNv0n+KWylatMMGOjQ==" saltValue="Ch+TBLTSso8GOLDPE2CwFQ==" spinCount="100000" sqref="F33:G33" name="Rango1_8"/>
    <protectedRange algorithmName="SHA-512" hashValue="zUrWTGEZiJFMgzDqDTBlVt+5/9aQcTuJw4/Tg0qXKmOEBmnAPkc2PftdRKWEJAjo6Tejl/2GECle77oEWrFAIQ==" saltValue="IwcVdvVtxL7J72Vc6oLNHQ==" spinCount="100000" sqref="E51:G51" name="Rango1_6_1"/>
  </protectedRanges>
  <mergeCells count="95">
    <mergeCell ref="B9:G10"/>
    <mergeCell ref="D4:F4"/>
    <mergeCell ref="D5:F5"/>
    <mergeCell ref="D6:F6"/>
    <mergeCell ref="D7:F7"/>
    <mergeCell ref="A8:H8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F19"/>
    <mergeCell ref="B20:D20"/>
    <mergeCell ref="E20:G20"/>
    <mergeCell ref="B22:D22"/>
    <mergeCell ref="E22:G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28:D28"/>
    <mergeCell ref="E28:G28"/>
    <mergeCell ref="B29:D29"/>
    <mergeCell ref="E29:G29"/>
    <mergeCell ref="B30:D30"/>
    <mergeCell ref="E30:G30"/>
    <mergeCell ref="B37:D37"/>
    <mergeCell ref="E37:G37"/>
    <mergeCell ref="B31:D31"/>
    <mergeCell ref="E31:G31"/>
    <mergeCell ref="B32:D32"/>
    <mergeCell ref="E32:G32"/>
    <mergeCell ref="B33:D33"/>
    <mergeCell ref="E33:G33"/>
    <mergeCell ref="B34:G34"/>
    <mergeCell ref="B35:D35"/>
    <mergeCell ref="E35:G35"/>
    <mergeCell ref="B36:D36"/>
    <mergeCell ref="E36:G36"/>
    <mergeCell ref="B38:D38"/>
    <mergeCell ref="E38:G38"/>
    <mergeCell ref="B39:D39"/>
    <mergeCell ref="E39:G39"/>
    <mergeCell ref="B40:D40"/>
    <mergeCell ref="E40:G40"/>
    <mergeCell ref="B47:D47"/>
    <mergeCell ref="E47:G47"/>
    <mergeCell ref="B41:D41"/>
    <mergeCell ref="E41:G41"/>
    <mergeCell ref="B42:D42"/>
    <mergeCell ref="E42:G42"/>
    <mergeCell ref="B43:D43"/>
    <mergeCell ref="E43:G43"/>
    <mergeCell ref="B44:D44"/>
    <mergeCell ref="E44:G44"/>
    <mergeCell ref="B45:D45"/>
    <mergeCell ref="E45:G45"/>
    <mergeCell ref="B46:G46"/>
    <mergeCell ref="B48:D48"/>
    <mergeCell ref="E48:G48"/>
    <mergeCell ref="B49:D49"/>
    <mergeCell ref="E49:G49"/>
    <mergeCell ref="B50:D50"/>
    <mergeCell ref="E50:G50"/>
    <mergeCell ref="D61:F61"/>
    <mergeCell ref="B51:G51"/>
    <mergeCell ref="C52:G52"/>
    <mergeCell ref="B53:G53"/>
    <mergeCell ref="B54:G54"/>
    <mergeCell ref="B55:G55"/>
    <mergeCell ref="B56:G56"/>
    <mergeCell ref="B57:C57"/>
    <mergeCell ref="B58:G58"/>
    <mergeCell ref="B59:C59"/>
    <mergeCell ref="E59:F59"/>
    <mergeCell ref="B60:G60"/>
    <mergeCell ref="F68:H68"/>
    <mergeCell ref="D62:F62"/>
    <mergeCell ref="D63:F63"/>
    <mergeCell ref="B64:G64"/>
    <mergeCell ref="B65:G65"/>
    <mergeCell ref="B66:E66"/>
    <mergeCell ref="F66:H66"/>
    <mergeCell ref="F67:H67"/>
  </mergeCells>
  <hyperlinks>
    <hyperlink ref="D7" r:id="rId1" display="https://www.planosperu.com.pe" xr:uid="{CD399878-08C6-40EB-A874-17C0D04A3ABE}"/>
  </hyperlinks>
  <printOptions horizontalCentered="1" verticalCentered="1"/>
  <pageMargins left="0.59055118110236227" right="0.59055118110236227" top="0" bottom="0" header="0" footer="0"/>
  <pageSetup paperSize="9" scale="9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OBR-CON</vt:lpstr>
      <vt:lpstr>'OBR-CON'!Área_de_impresión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2025-04-28T14:23:14Z</dcterms:created>
  <dcterms:modified xsi:type="dcterms:W3CDTF">2026-09-03T15:50:38Z</dcterms:modified>
</cp:coreProperties>
</file>