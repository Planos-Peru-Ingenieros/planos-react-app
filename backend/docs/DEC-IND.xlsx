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FD509FE0-362C-4EA5-A763-7CF5B7D7C10E}" xr6:coauthVersionLast="47" xr6:coauthVersionMax="47" xr10:uidLastSave="{00000000-0000-0000-0000-000000000000}"/>
  <bookViews>
    <workbookView xWindow="-120" yWindow="-120" windowWidth="29040" windowHeight="15840" xr2:uid="{3A5EF13D-509D-48F5-934E-4606A24B98D3}"/>
  </bookViews>
  <sheets>
    <sheet name="DEC-IND" sheetId="2" r:id="rId1"/>
  </sheets>
  <definedNames>
    <definedName name="_xlnm.Print_Area" localSheetId="0">'DEC-IND'!$A$1:$H$71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3" i="2" s="1"/>
  <c r="G61" i="2" l="1"/>
</calcChain>
</file>

<file path=xl/sharedStrings.xml><?xml version="1.0" encoding="utf-8"?>
<sst xmlns="http://schemas.openxmlformats.org/spreadsheetml/2006/main" count="99" uniqueCount="99">
  <si>
    <t xml:space="preserve">                                                                                                                  </t>
  </si>
  <si>
    <t>Correo:</t>
  </si>
  <si>
    <t>COTIZACION / CONTRATO DE ELABORACION EXPEDIENTE
DECLARATORIA E INDEPENDIZACION</t>
  </si>
  <si>
    <t>Proyecto:</t>
  </si>
  <si>
    <t>Expediente para declaratoria e independización - SUNARP</t>
  </si>
  <si>
    <t>Detalles:</t>
  </si>
  <si>
    <t>Area:</t>
  </si>
  <si>
    <t>m² aprox.</t>
  </si>
  <si>
    <t>Telefono: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</si>
  <si>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</si>
  <si>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</si>
  <si>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</si>
  <si>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</si>
  <si>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</si>
  <si>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</si>
  <si>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A.1 Anteproyecto (Hasta 3 Diseños)</t>
  </si>
  <si>
    <t>A.3 Cortes Y elevaciones</t>
  </si>
  <si>
    <t xml:space="preserve">A.4 Estructuras Cimentación </t>
  </si>
  <si>
    <t>A.5 Estructuras Techos</t>
  </si>
  <si>
    <t>B.  Elaboración de Documentos del Expediente Solicitado</t>
  </si>
  <si>
    <t>B.1 Lectura Titulo SUNARP (si fuera el caso)</t>
  </si>
  <si>
    <t>B.2 Solicitud y Memoria Descriptiva SUNARP</t>
  </si>
  <si>
    <t>B.3 Reglamento interno y junta de Propietarios</t>
  </si>
  <si>
    <t>B.17 Factibilidad Electrica</t>
  </si>
  <si>
    <t>B.18 Carta de Seguridad de Obra</t>
  </si>
  <si>
    <t>B.19 Carta de Responsabilidad de Obra</t>
  </si>
  <si>
    <t>B.20 Escrito para respuesta de Notificacion Municpal</t>
  </si>
  <si>
    <t>B.21 Asesoria durante el proceso</t>
  </si>
  <si>
    <t>B.23 Revisión de notificacion y normativa</t>
  </si>
  <si>
    <t>B.24 Verificación de código de multa</t>
  </si>
  <si>
    <t>B.25 Trámite municipal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</si>
  <si>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</si>
  <si>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</si>
  <si>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</si>
  <si>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Verificador  y 2 copias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</si>
  <si>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</si>
  <si>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</si>
  <si>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</si>
  <si>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</si>
  <si>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</si>
  <si>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</si>
  <si>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</si>
  <si>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</si>
  <si>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</si>
  <si>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</si>
  <si>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</si>
  <si>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</si>
  <si>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envio de documentos para firma Notarial</t>
  </si>
  <si>
    <t>Aprox</t>
  </si>
  <si>
    <t>Emision de Liquidación (aprobación)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</si>
  <si>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</si>
  <si>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</si>
  <si>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</si>
  <si>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</si>
  <si>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</si>
  <si>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</si>
  <si>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</si>
  <si>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</si>
  <si>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 xml:space="preserve">Cuota 3 S/  </t>
  </si>
  <si>
    <t>Ing. Aguirre Alanya Luis Antonio CIP: 323997 CIV: 022178VCZRIX</t>
  </si>
  <si>
    <t>www.planosperu.com.pe</t>
  </si>
  <si>
    <t>Calle Juan José Muñoz 354 - Comas</t>
  </si>
  <si>
    <t>Niveles:</t>
  </si>
  <si>
    <t xml:space="preserve">Solicitante: </t>
  </si>
  <si>
    <t>DNI / RUC Nº:</t>
  </si>
  <si>
    <t>N° Titulos:</t>
  </si>
  <si>
    <t>Distrito:</t>
  </si>
  <si>
    <t>A.7 Ubicación Coordenadas WGS84</t>
  </si>
  <si>
    <t>A.8 Ubicación Coordenadas PSAD56</t>
  </si>
  <si>
    <t>A.9 Perimetrico - Independización</t>
  </si>
  <si>
    <t>A.10 Perimetrico - Subdivision</t>
  </si>
  <si>
    <t>A.11 Perimetrico - Acumulacion</t>
  </si>
  <si>
    <t>A.12 Evaluación Estructural de Inmueble</t>
  </si>
  <si>
    <t>A.2 Arquitectura - Distribución</t>
  </si>
  <si>
    <t>A.6 Ubicación y Localización</t>
  </si>
  <si>
    <t>A. Desarrollo de Planos del Expediente</t>
  </si>
  <si>
    <t>B.16 Escrito notarial si fuese requerido</t>
  </si>
  <si>
    <t>B.22 Audiencia con registrador SUNARP</t>
  </si>
  <si>
    <t>B.27 Desistimiento de titulo en curso</t>
  </si>
  <si>
    <t>B.28 Solicitud de tacha de titulo</t>
  </si>
  <si>
    <t>A la Aprobación de la Proforma y Medición del Inmueble</t>
  </si>
  <si>
    <t>B.15 Declaración Jurada Profesional</t>
  </si>
  <si>
    <t>B.26 Sucesión Intestada</t>
  </si>
  <si>
    <t>B.4 Formulario Registral Nº 1</t>
  </si>
  <si>
    <t>B.5 Formulario Registral Nº 2</t>
  </si>
  <si>
    <t>B.6 Modificación de Reglamento interno y junta de Propietarios (si fuera el caso)</t>
  </si>
  <si>
    <t>B.7 Constancia y Acta Extraordinaria (si fuera el caso)</t>
  </si>
  <si>
    <t>B.8 Informe Tecnico de Verificación</t>
  </si>
  <si>
    <t xml:space="preserve">B.9 Declaracion Jurada </t>
  </si>
  <si>
    <t>B.10 Anexo Nº 1 SUNARP</t>
  </si>
  <si>
    <t>B.11 Anexo Nº 4 SUNARP</t>
  </si>
  <si>
    <t>B.12 Subsanacion de observaciones SUNARP (si fuera el caso)</t>
  </si>
  <si>
    <t>B.13 FUE (Formulario Unico de Edifcaciones)</t>
  </si>
  <si>
    <t>B.14 Memoria descriptiva</t>
  </si>
  <si>
    <t>Ofic.  Princ. Lima Norte</t>
  </si>
  <si>
    <t>Oficina Lima Centro
Oficina Lima Sur</t>
  </si>
  <si>
    <t>José del Carmen Verástegui 273, San Juan de Miraflores
Av. Alameda Central, Pista Este Manzana 2d Lotes 3 - 4, Cañete</t>
  </si>
  <si>
    <t>gesstion@hotmail.com       Whatsapp: 962 303 092 / 906 025 864 / 906 030 445</t>
  </si>
  <si>
    <t>Página Web: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</si>
</sst>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7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/>
    <xf numFmtId="0" fontId="13" fillId="4" borderId="4" xfId="0" applyFont="1" applyFill="1" applyBorder="1"/>
    <xf numFmtId="0" fontId="13" fillId="4" borderId="13" xfId="0" applyFont="1" applyFill="1" applyBorder="1"/>
    <xf numFmtId="0" fontId="12" fillId="4" borderId="0" xfId="0" applyFont="1" applyFill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6" fillId="4" borderId="10" xfId="0" applyFont="1" applyFill="1" applyBorder="1" applyAlignment="1" applyProtection="1">
      <alignment horizontal="left" vertical="center" wrapText="1"/>
      <protection hidden="1"/>
    </xf>
    <xf numFmtId="0" fontId="16" fillId="4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6" fillId="4" borderId="0" xfId="0" applyFont="1" applyFill="1" applyAlignment="1" applyProtection="1">
      <alignment horizontal="left" vertical="center"/>
      <protection hidden="1"/>
    </xf>
    <xf numFmtId="0" fontId="16" fillId="4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vertical="center"/>
      <protection hidden="1"/>
    </xf>
    <xf numFmtId="0" fontId="16" fillId="4" borderId="0" xfId="0" applyFont="1" applyFill="1" applyAlignment="1" applyProtection="1">
      <alignment vertical="center"/>
      <protection hidden="1"/>
    </xf>
    <xf numFmtId="0" fontId="16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0" fontId="16" fillId="4" borderId="4" xfId="0" applyFont="1" applyFill="1" applyBorder="1" applyAlignment="1" applyProtection="1">
      <alignment vertical="center"/>
      <protection hidden="1"/>
    </xf>
    <xf numFmtId="0" fontId="16" fillId="4" borderId="13" xfId="0" applyFont="1" applyFill="1" applyBorder="1" applyAlignment="1" applyProtection="1">
      <alignment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righ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8" fillId="0" borderId="0" xfId="0" applyFont="1" applyAlignment="1" applyProtection="1">
      <alignment horizontal="right" vertical="center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843919E7-5B10-4BD3-8861-2520DB6D23D6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0E2250DA-D403-46BF-B2EA-D4622B2A1551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D0889812-3E9B-4F02-93B3-F6D6806BA8EE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BD46E0FC-8C23-48D9-8382-04632A8B6E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0D152C6D-FBF1-4A19-A331-791FBE443FDE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1307C355-2285-4CC8-8FB1-7B4B0C4FE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3B1D7AD4-996A-4D2A-9D40-ECBE3E567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  <xdr:twoCellAnchor editAs="oneCell">
    <xdr:from>
      <xdr:col>6</xdr:col>
      <xdr:colOff>842596</xdr:colOff>
      <xdr:row>68</xdr:row>
      <xdr:rowOff>73269</xdr:rowOff>
    </xdr:from>
    <xdr:to>
      <xdr:col>7</xdr:col>
      <xdr:colOff>252239</xdr:colOff>
      <xdr:row>70</xdr:row>
      <xdr:rowOff>11104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DB00104-971C-43AD-B855-D91EA83D9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3711" y="11034346"/>
          <a:ext cx="516009" cy="318835"/>
        </a:xfrm>
        <a:prstGeom prst="rect">
          <a:avLst/>
        </a:prstGeom>
      </xdr:spPr>
    </xdr:pic>
    <xdr:clientData/>
  </xdr:twoCellAnchor>
  <xdr:oneCellAnchor>
    <xdr:from>
      <xdr:col>6</xdr:col>
      <xdr:colOff>738187</xdr:colOff>
      <xdr:row>3</xdr:row>
      <xdr:rowOff>106322</xdr:rowOff>
    </xdr:from>
    <xdr:ext cx="538162" cy="361336"/>
    <xdr:pic>
      <xdr:nvPicPr>
        <xdr:cNvPr id="11" name="Imagen 10">
          <a:extLst>
            <a:ext uri="{FF2B5EF4-FFF2-40B4-BE49-F238E27FC236}">
              <a16:creationId xmlns:a16="http://schemas.microsoft.com/office/drawing/2014/main" id="{9A746DBD-315D-4351-A23F-820216EE9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5037" y="668297"/>
          <a:ext cx="538162" cy="3613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739C-8E68-493D-8D3E-1C210C685DB1}">
  <sheetPr>
    <tabColor theme="1"/>
    <pageSetUpPr fitToPage="1"/>
  </sheetPr>
  <dimension ref="A3:H78"/>
  <sheetViews>
    <sheetView showGridLines="0" tabSelected="1" showRuler="0" view="pageBreakPreview" topLeftCell="A44" zoomScale="115" zoomScaleNormal="50" zoomScaleSheetLayoutView="115" workbookViewId="0">
      <selection activeCell="D61" sqref="D61:F61"/>
    </sheetView>
  </sheetViews>
  <sheetFormatPr baseColWidth="10" defaultColWidth="11.42578125" defaultRowHeight="15" x14ac:dyDescent="0.25"/>
  <cols>
    <col min="1" max="1" width="10" customWidth="1"/>
    <col min="3" max="3" width="18.28515625" bestFit="1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94</v>
      </c>
      <c r="D4" s="52" t="s">
        <v>61</v>
      </c>
      <c r="E4" s="52"/>
      <c r="F4" s="52"/>
      <c r="G4" s="44"/>
    </row>
    <row r="5" spans="1:8" ht="26.25" x14ac:dyDescent="0.25">
      <c r="C5" s="46" t="s">
        <v>95</v>
      </c>
      <c r="D5" s="141" t="s">
        <v>96</v>
      </c>
      <c r="E5" s="141"/>
      <c r="F5" s="141"/>
      <c r="G5" s="141"/>
    </row>
    <row r="6" spans="1:8" ht="11.25" customHeight="1" x14ac:dyDescent="0.25">
      <c r="C6" s="45" t="s">
        <v>1</v>
      </c>
      <c r="D6" s="142" t="s">
        <v>97</v>
      </c>
      <c r="E6" s="142"/>
      <c r="F6" s="142"/>
      <c r="G6" s="142"/>
      <c r="H6" s="142"/>
    </row>
    <row r="7" spans="1:8" ht="12" customHeight="1" x14ac:dyDescent="0.25">
      <c r="C7" s="45" t="s">
        <v>98</v>
      </c>
      <c r="D7" s="53" t="s">
        <v>60</v>
      </c>
      <c r="E7" s="53"/>
      <c r="F7" s="53"/>
      <c r="G7" s="2"/>
    </row>
    <row r="8" spans="1:8" ht="10.5" customHeight="1" x14ac:dyDescent="0.25">
      <c r="A8" s="54"/>
      <c r="B8" s="54"/>
      <c r="C8" s="54"/>
      <c r="D8" s="54"/>
      <c r="E8" s="54"/>
      <c r="F8" s="54"/>
      <c r="G8" s="54"/>
      <c r="H8" s="54"/>
    </row>
    <row r="9" spans="1:8" s="3" customFormat="1" ht="15.95" customHeight="1" x14ac:dyDescent="0.25">
      <c r="B9" s="51" t="s">
        <v>2</v>
      </c>
      <c r="C9" s="51"/>
      <c r="D9" s="51"/>
      <c r="E9" s="51"/>
      <c r="F9" s="51"/>
      <c r="G9" s="51"/>
      <c r="H9" s="4"/>
    </row>
    <row r="10" spans="1:8" s="3" customFormat="1" ht="15.75" customHeight="1" x14ac:dyDescent="0.25">
      <c r="B10" s="51"/>
      <c r="C10" s="51"/>
      <c r="D10" s="51"/>
      <c r="E10" s="51"/>
      <c r="F10" s="51"/>
      <c r="G10" s="51"/>
      <c r="H10" s="4"/>
    </row>
    <row r="11" spans="1:8" s="9" customFormat="1" ht="12" customHeight="1" x14ac:dyDescent="0.25">
      <c r="A11" s="5" t="s">
        <v>3</v>
      </c>
      <c r="B11" s="58" t="s">
        <v>4</v>
      </c>
      <c r="C11" s="58"/>
      <c r="D11" s="58"/>
      <c r="E11" s="58"/>
      <c r="F11" s="6" t="s">
        <v>5</v>
      </c>
      <c r="G11" s="7"/>
      <c r="H11" s="8"/>
    </row>
    <row r="12" spans="1:8" s="9" customFormat="1" ht="12" customHeight="1" x14ac:dyDescent="0.25">
      <c r="A12" s="5"/>
      <c r="B12" s="58"/>
      <c r="C12" s="58"/>
      <c r="D12" s="58"/>
      <c r="E12" s="58"/>
      <c r="F12" s="58"/>
      <c r="G12" s="58"/>
      <c r="H12" s="8"/>
    </row>
    <row r="13" spans="1:8" s="9" customFormat="1" ht="12" customHeight="1" x14ac:dyDescent="0.25">
      <c r="A13" s="10"/>
      <c r="B13" s="58"/>
      <c r="C13" s="58"/>
      <c r="D13" s="58"/>
      <c r="E13" s="58"/>
      <c r="F13" s="58"/>
      <c r="G13" s="58"/>
      <c r="H13" s="8"/>
    </row>
    <row r="14" spans="1:8" s="9" customFormat="1" ht="12" customHeight="1" x14ac:dyDescent="0.25">
      <c r="A14" s="5" t="s">
        <v>62</v>
      </c>
      <c r="B14" s="36"/>
      <c r="C14" s="11" t="s">
        <v>6</v>
      </c>
      <c r="D14" s="12"/>
      <c r="E14" s="13" t="s">
        <v>7</v>
      </c>
      <c r="F14" s="11" t="s">
        <v>65</v>
      </c>
      <c r="G14" s="43"/>
      <c r="H14" s="8"/>
    </row>
    <row r="15" spans="1:8" s="9" customFormat="1" ht="12" customHeight="1" x14ac:dyDescent="0.25">
      <c r="A15" s="5" t="s">
        <v>63</v>
      </c>
      <c r="B15" s="58"/>
      <c r="C15" s="58"/>
      <c r="D15" s="58"/>
      <c r="E15" s="58"/>
      <c r="F15" s="11" t="s">
        <v>66</v>
      </c>
      <c r="G15" s="43"/>
      <c r="H15" s="8"/>
    </row>
    <row r="16" spans="1:8" s="9" customFormat="1" ht="12" customHeight="1" x14ac:dyDescent="0.25">
      <c r="A16" s="10"/>
      <c r="B16" s="59"/>
      <c r="C16" s="59"/>
      <c r="D16" s="59"/>
      <c r="E16" s="59"/>
      <c r="F16" s="11" t="s">
        <v>8</v>
      </c>
      <c r="G16" s="14"/>
      <c r="H16" s="8"/>
    </row>
    <row r="17" spans="1:8" s="9" customFormat="1" ht="12" customHeight="1" x14ac:dyDescent="0.25">
      <c r="A17" s="5" t="s">
        <v>64</v>
      </c>
      <c r="B17" s="58"/>
      <c r="C17" s="58"/>
      <c r="D17" s="15" t="s">
        <v>9</v>
      </c>
      <c r="E17" s="16">
        <f ca="1">TODAY()</f>
        <v>46261</v>
      </c>
      <c r="F17" s="13"/>
      <c r="G17" s="13"/>
      <c r="H17" s="13"/>
    </row>
    <row r="18" spans="1:8" s="9" customFormat="1" ht="12" customHeight="1" x14ac:dyDescent="0.25">
      <c r="A18" s="17"/>
      <c r="B18" s="60"/>
      <c r="C18" s="60"/>
      <c r="D18" s="60"/>
      <c r="E18" s="60"/>
      <c r="F18" s="60"/>
      <c r="G18" s="60"/>
      <c r="H18" s="17"/>
    </row>
    <row r="19" spans="1:8" s="20" customFormat="1" ht="12" customHeight="1" x14ac:dyDescent="0.25">
      <c r="A19" s="18"/>
      <c r="B19" s="61" t="s">
        <v>10</v>
      </c>
      <c r="C19" s="62"/>
      <c r="D19" s="63"/>
      <c r="E19" s="64"/>
      <c r="F19" s="64"/>
      <c r="G19" s="64"/>
      <c r="H19" s="19"/>
    </row>
    <row r="20" spans="1:8" s="20" customFormat="1" ht="12" customHeight="1" x14ac:dyDescent="0.25">
      <c r="A20" s="8"/>
      <c r="B20" s="65" t="s">
        <v>11</v>
      </c>
      <c r="C20" s="66"/>
      <c r="D20" s="67"/>
      <c r="E20" s="68" t="s">
        <v>12</v>
      </c>
      <c r="F20" s="68"/>
      <c r="G20" s="69"/>
      <c r="H20" s="8"/>
    </row>
    <row r="21" spans="1:8" s="20" customFormat="1" ht="12" customHeight="1" x14ac:dyDescent="0.25">
      <c r="A21" s="8"/>
      <c r="B21" s="55" t="s">
        <v>13</v>
      </c>
      <c r="C21" s="56"/>
      <c r="D21" s="57"/>
      <c r="E21" s="56" t="s">
        <v>14</v>
      </c>
      <c r="F21" s="56"/>
      <c r="G21" s="57"/>
      <c r="H21" s="8"/>
    </row>
    <row r="22" spans="1:8" s="20" customFormat="1" ht="12" customHeight="1" x14ac:dyDescent="0.25">
      <c r="A22" s="8"/>
      <c r="B22" s="70" t="s">
        <v>75</v>
      </c>
      <c r="C22" s="71"/>
      <c r="D22" s="71"/>
      <c r="E22" s="72"/>
      <c r="F22" s="72"/>
      <c r="G22" s="73"/>
      <c r="H22" s="8"/>
    </row>
    <row r="23" spans="1:8" s="20" customFormat="1" ht="12" customHeight="1" x14ac:dyDescent="0.25">
      <c r="A23" s="8"/>
      <c r="B23" s="74" t="s">
        <v>15</v>
      </c>
      <c r="C23" s="68"/>
      <c r="D23" s="69"/>
      <c r="E23" s="74" t="s">
        <v>67</v>
      </c>
      <c r="F23" s="68"/>
      <c r="G23" s="69"/>
      <c r="H23" s="8"/>
    </row>
    <row r="24" spans="1:8" s="20" customFormat="1" ht="12" customHeight="1" x14ac:dyDescent="0.25">
      <c r="A24" s="8"/>
      <c r="B24" s="65" t="s">
        <v>73</v>
      </c>
      <c r="C24" s="66"/>
      <c r="D24" s="67"/>
      <c r="E24" s="55" t="s">
        <v>68</v>
      </c>
      <c r="F24" s="56"/>
      <c r="G24" s="57"/>
      <c r="H24" s="8"/>
    </row>
    <row r="25" spans="1:8" s="20" customFormat="1" ht="12" customHeight="1" x14ac:dyDescent="0.25">
      <c r="A25" s="21"/>
      <c r="B25" s="55" t="s">
        <v>16</v>
      </c>
      <c r="C25" s="56"/>
      <c r="D25" s="57"/>
      <c r="E25" s="65" t="s">
        <v>69</v>
      </c>
      <c r="F25" s="66"/>
      <c r="G25" s="67"/>
      <c r="H25" s="8"/>
    </row>
    <row r="26" spans="1:8" s="20" customFormat="1" ht="12" customHeight="1" x14ac:dyDescent="0.25">
      <c r="A26" s="22"/>
      <c r="B26" s="55" t="s">
        <v>17</v>
      </c>
      <c r="C26" s="56"/>
      <c r="D26" s="57"/>
      <c r="E26" s="55" t="s">
        <v>70</v>
      </c>
      <c r="F26" s="56"/>
      <c r="G26" s="57"/>
      <c r="H26" s="8"/>
    </row>
    <row r="27" spans="1:8" s="20" customFormat="1" ht="12" customHeight="1" x14ac:dyDescent="0.25">
      <c r="A27" s="22"/>
      <c r="B27" s="75" t="s">
        <v>18</v>
      </c>
      <c r="C27" s="76"/>
      <c r="D27" s="77"/>
      <c r="E27" s="78" t="s">
        <v>71</v>
      </c>
      <c r="F27" s="79"/>
      <c r="G27" s="80"/>
      <c r="H27" s="8"/>
    </row>
    <row r="28" spans="1:8" s="20" customFormat="1" ht="12" customHeight="1" x14ac:dyDescent="0.25">
      <c r="A28" s="22"/>
      <c r="B28" s="84" t="s">
        <v>74</v>
      </c>
      <c r="C28" s="85"/>
      <c r="D28" s="86"/>
      <c r="E28" s="87" t="s">
        <v>72</v>
      </c>
      <c r="F28" s="88"/>
      <c r="G28" s="89"/>
      <c r="H28" s="8"/>
    </row>
    <row r="29" spans="1:8" s="20" customFormat="1" ht="12" customHeight="1" x14ac:dyDescent="0.25">
      <c r="A29" s="22"/>
      <c r="B29" s="70" t="s">
        <v>19</v>
      </c>
      <c r="C29" s="71"/>
      <c r="D29" s="71"/>
      <c r="E29" s="90"/>
      <c r="F29" s="90"/>
      <c r="G29" s="91"/>
      <c r="H29" s="8"/>
    </row>
    <row r="30" spans="1:8" s="20" customFormat="1" ht="12" customHeight="1" x14ac:dyDescent="0.25">
      <c r="A30" s="23"/>
      <c r="B30" s="92" t="s">
        <v>20</v>
      </c>
      <c r="C30" s="93"/>
      <c r="D30" s="94"/>
      <c r="E30" s="101" t="s">
        <v>81</v>
      </c>
      <c r="F30" s="102"/>
      <c r="G30" s="103"/>
      <c r="H30" s="8"/>
    </row>
    <row r="31" spans="1:8" s="20" customFormat="1" ht="12" customHeight="1" x14ac:dyDescent="0.25">
      <c r="A31" s="23"/>
      <c r="B31" s="95" t="s">
        <v>21</v>
      </c>
      <c r="C31" s="96"/>
      <c r="D31" s="97"/>
      <c r="E31" s="75" t="s">
        <v>76</v>
      </c>
      <c r="F31" s="76"/>
      <c r="G31" s="77"/>
      <c r="H31" s="8"/>
    </row>
    <row r="32" spans="1:8" s="20" customFormat="1" ht="12" customHeight="1" x14ac:dyDescent="0.25">
      <c r="A32" s="24"/>
      <c r="B32" s="98" t="s">
        <v>22</v>
      </c>
      <c r="C32" s="99"/>
      <c r="D32" s="100"/>
      <c r="E32" s="75" t="s">
        <v>23</v>
      </c>
      <c r="F32" s="76"/>
      <c r="G32" s="77"/>
      <c r="H32" s="8"/>
    </row>
    <row r="33" spans="1:8" s="20" customFormat="1" ht="12" customHeight="1" x14ac:dyDescent="0.25">
      <c r="A33" s="8"/>
      <c r="B33" s="98"/>
      <c r="C33" s="99"/>
      <c r="D33" s="100"/>
      <c r="E33" s="75" t="s">
        <v>24</v>
      </c>
      <c r="F33" s="76"/>
      <c r="G33" s="77"/>
      <c r="H33" s="8"/>
    </row>
    <row r="34" spans="1:8" s="20" customFormat="1" ht="12" customHeight="1" x14ac:dyDescent="0.25">
      <c r="A34" s="8"/>
      <c r="B34" s="37" t="s">
        <v>83</v>
      </c>
      <c r="C34" s="38"/>
      <c r="D34" s="39"/>
      <c r="E34" s="75" t="s">
        <v>25</v>
      </c>
      <c r="F34" s="76"/>
      <c r="G34" s="77"/>
      <c r="H34" s="8"/>
    </row>
    <row r="35" spans="1:8" s="20" customFormat="1" ht="12" customHeight="1" x14ac:dyDescent="0.25">
      <c r="A35" s="8"/>
      <c r="B35" s="40" t="s">
        <v>84</v>
      </c>
      <c r="C35" s="41"/>
      <c r="D35" s="42"/>
      <c r="E35" s="75" t="s">
        <v>26</v>
      </c>
      <c r="F35" s="76"/>
      <c r="G35" s="77"/>
      <c r="H35" s="8"/>
    </row>
    <row r="36" spans="1:8" s="20" customFormat="1" ht="12" customHeight="1" x14ac:dyDescent="0.25">
      <c r="A36" s="8"/>
      <c r="B36" s="48" t="s">
        <v>85</v>
      </c>
      <c r="C36" s="49"/>
      <c r="D36" s="50"/>
      <c r="E36" s="95" t="s">
        <v>27</v>
      </c>
      <c r="F36" s="96"/>
      <c r="G36" s="97"/>
      <c r="H36" s="8"/>
    </row>
    <row r="37" spans="1:8" s="20" customFormat="1" ht="12" customHeight="1" x14ac:dyDescent="0.25">
      <c r="A37" s="8"/>
      <c r="B37" s="48"/>
      <c r="C37" s="49"/>
      <c r="D37" s="50"/>
      <c r="E37" s="81" t="s">
        <v>77</v>
      </c>
      <c r="F37" s="82"/>
      <c r="G37" s="83"/>
      <c r="H37" s="8"/>
    </row>
    <row r="38" spans="1:8" s="20" customFormat="1" ht="12" customHeight="1" x14ac:dyDescent="0.25">
      <c r="A38" s="8"/>
      <c r="B38" s="37" t="s">
        <v>86</v>
      </c>
      <c r="C38" s="38"/>
      <c r="D38" s="39"/>
      <c r="E38" s="81"/>
      <c r="F38" s="82"/>
      <c r="G38" s="83"/>
      <c r="H38" s="8"/>
    </row>
    <row r="39" spans="1:8" s="20" customFormat="1" ht="12" customHeight="1" x14ac:dyDescent="0.25">
      <c r="A39" s="8"/>
      <c r="B39" s="40" t="s">
        <v>87</v>
      </c>
      <c r="C39" s="41"/>
      <c r="D39" s="42"/>
      <c r="E39" s="104" t="s">
        <v>28</v>
      </c>
      <c r="F39" s="105"/>
      <c r="G39" s="106"/>
      <c r="H39" s="8"/>
    </row>
    <row r="40" spans="1:8" s="20" customFormat="1" ht="12" customHeight="1" x14ac:dyDescent="0.25">
      <c r="A40" s="8"/>
      <c r="B40" s="40" t="s">
        <v>88</v>
      </c>
      <c r="C40" s="41"/>
      <c r="D40" s="42"/>
      <c r="E40" s="107" t="s">
        <v>29</v>
      </c>
      <c r="F40" s="108"/>
      <c r="G40" s="109"/>
      <c r="H40" s="8"/>
    </row>
    <row r="41" spans="1:8" s="20" customFormat="1" ht="12" customHeight="1" x14ac:dyDescent="0.25">
      <c r="A41" s="8"/>
      <c r="B41" s="40" t="s">
        <v>89</v>
      </c>
      <c r="C41" s="41"/>
      <c r="D41" s="42"/>
      <c r="E41" s="81" t="s">
        <v>30</v>
      </c>
      <c r="F41" s="82"/>
      <c r="G41" s="83"/>
      <c r="H41" s="8"/>
    </row>
    <row r="42" spans="1:8" s="20" customFormat="1" ht="12" customHeight="1" x14ac:dyDescent="0.25">
      <c r="A42" s="8"/>
      <c r="B42" s="40" t="s">
        <v>90</v>
      </c>
      <c r="C42" s="41"/>
      <c r="D42" s="42"/>
      <c r="E42" s="81"/>
      <c r="F42" s="82"/>
      <c r="G42" s="83"/>
      <c r="H42" s="8"/>
    </row>
    <row r="43" spans="1:8" s="20" customFormat="1" ht="12" customHeight="1" x14ac:dyDescent="0.25">
      <c r="A43" s="8"/>
      <c r="B43" s="40" t="s">
        <v>91</v>
      </c>
      <c r="C43" s="41"/>
      <c r="D43" s="42"/>
      <c r="E43" s="75" t="s">
        <v>82</v>
      </c>
      <c r="F43" s="76"/>
      <c r="G43" s="77"/>
      <c r="H43" s="8"/>
    </row>
    <row r="44" spans="1:8" s="20" customFormat="1" ht="12" customHeight="1" x14ac:dyDescent="0.25">
      <c r="A44" s="8"/>
      <c r="B44" s="37" t="s">
        <v>92</v>
      </c>
      <c r="C44" s="38"/>
      <c r="D44" s="39"/>
      <c r="E44" s="110" t="s">
        <v>78</v>
      </c>
      <c r="F44" s="111"/>
      <c r="G44" s="112"/>
      <c r="H44" s="8"/>
    </row>
    <row r="45" spans="1:8" s="20" customFormat="1" ht="12" customHeight="1" x14ac:dyDescent="0.25">
      <c r="A45" s="8"/>
      <c r="B45" s="37" t="s">
        <v>93</v>
      </c>
      <c r="C45" s="38"/>
      <c r="D45" s="39"/>
      <c r="E45" s="113" t="s">
        <v>79</v>
      </c>
      <c r="F45" s="114"/>
      <c r="G45" s="115"/>
      <c r="H45" s="8"/>
    </row>
    <row r="46" spans="1:8" s="20" customFormat="1" ht="12" customHeight="1" x14ac:dyDescent="0.25">
      <c r="B46" s="70" t="s">
        <v>31</v>
      </c>
      <c r="C46" s="71"/>
      <c r="D46" s="71"/>
      <c r="E46" s="118"/>
      <c r="F46" s="118"/>
      <c r="G46" s="119"/>
      <c r="H46" s="8"/>
    </row>
    <row r="47" spans="1:8" s="20" customFormat="1" ht="12" customHeight="1" x14ac:dyDescent="0.25">
      <c r="A47" s="8"/>
      <c r="B47" s="120" t="s">
        <v>32</v>
      </c>
      <c r="C47" s="121"/>
      <c r="D47" s="122"/>
      <c r="E47" s="65" t="s">
        <v>33</v>
      </c>
      <c r="F47" s="66"/>
      <c r="G47" s="67"/>
      <c r="H47" s="8"/>
    </row>
    <row r="48" spans="1:8" s="20" customFormat="1" ht="12" customHeight="1" x14ac:dyDescent="0.25">
      <c r="A48" s="8"/>
      <c r="B48" s="123" t="s">
        <v>34</v>
      </c>
      <c r="C48" s="124"/>
      <c r="D48" s="125"/>
      <c r="E48" s="123" t="s">
        <v>35</v>
      </c>
      <c r="F48" s="124"/>
      <c r="G48" s="125"/>
      <c r="H48" s="8"/>
    </row>
    <row r="49" spans="1:8" s="20" customFormat="1" ht="12" customHeight="1" x14ac:dyDescent="0.25">
      <c r="A49" s="8"/>
      <c r="B49" s="123" t="s">
        <v>36</v>
      </c>
      <c r="C49" s="124"/>
      <c r="D49" s="125"/>
      <c r="E49" s="126" t="s">
        <v>37</v>
      </c>
      <c r="F49" s="127"/>
      <c r="G49" s="128"/>
      <c r="H49" s="8"/>
    </row>
    <row r="50" spans="1:8" s="20" customFormat="1" ht="12" customHeight="1" x14ac:dyDescent="0.25">
      <c r="A50" s="8"/>
      <c r="B50" s="129" t="s">
        <v>38</v>
      </c>
      <c r="C50" s="130"/>
      <c r="D50" s="131"/>
      <c r="E50" s="132"/>
      <c r="F50" s="133"/>
      <c r="G50" s="134"/>
      <c r="H50" s="8"/>
    </row>
    <row r="51" spans="1:8" s="20" customFormat="1" ht="12" customHeight="1" x14ac:dyDescent="0.25">
      <c r="A51" s="8"/>
      <c r="B51" s="135"/>
      <c r="C51" s="135"/>
      <c r="D51" s="135"/>
      <c r="E51" s="135"/>
      <c r="F51" s="135"/>
      <c r="G51" s="135"/>
      <c r="H51" s="8"/>
    </row>
    <row r="52" spans="1:8" s="20" customFormat="1" ht="12" customHeight="1" x14ac:dyDescent="0.25">
      <c r="A52" s="8"/>
      <c r="B52" s="25" t="s">
        <v>39</v>
      </c>
      <c r="C52" s="136"/>
      <c r="D52" s="136"/>
      <c r="E52" s="136"/>
      <c r="F52" s="136"/>
      <c r="G52" s="136"/>
      <c r="H52" s="8"/>
    </row>
    <row r="53" spans="1:8" s="20" customFormat="1" ht="12" customHeight="1" x14ac:dyDescent="0.25">
      <c r="A53" s="8"/>
      <c r="B53" s="117"/>
      <c r="C53" s="117"/>
      <c r="D53" s="117"/>
      <c r="E53" s="117"/>
      <c r="F53" s="117"/>
      <c r="G53" s="117"/>
      <c r="H53" s="8"/>
    </row>
    <row r="54" spans="1:8" s="20" customFormat="1" ht="12" customHeight="1" x14ac:dyDescent="0.25">
      <c r="A54" s="8"/>
      <c r="B54" s="117"/>
      <c r="C54" s="117"/>
      <c r="D54" s="117"/>
      <c r="E54" s="117"/>
      <c r="F54" s="117"/>
      <c r="G54" s="117"/>
      <c r="H54" s="8"/>
    </row>
    <row r="55" spans="1:8" s="20" customFormat="1" ht="12" customHeight="1" x14ac:dyDescent="0.25">
      <c r="A55" s="8"/>
      <c r="B55" s="145"/>
      <c r="C55" s="145"/>
      <c r="D55" s="145"/>
      <c r="E55" s="145"/>
      <c r="F55" s="145"/>
      <c r="G55" s="145"/>
      <c r="H55" s="8"/>
    </row>
    <row r="56" spans="1:8" s="20" customFormat="1" ht="12" customHeight="1" x14ac:dyDescent="0.25">
      <c r="A56" s="18"/>
      <c r="B56" s="140" t="s">
        <v>40</v>
      </c>
      <c r="C56" s="140"/>
      <c r="D56" s="140"/>
      <c r="E56" s="140"/>
      <c r="F56" s="140"/>
      <c r="G56" s="140"/>
      <c r="H56" s="19"/>
    </row>
    <row r="57" spans="1:8" s="20" customFormat="1" ht="12" customHeight="1" x14ac:dyDescent="0.25">
      <c r="A57" s="19"/>
      <c r="B57" s="146" t="s">
        <v>41</v>
      </c>
      <c r="C57" s="146"/>
      <c r="D57" s="26">
        <v>7</v>
      </c>
      <c r="E57" s="17" t="s">
        <v>42</v>
      </c>
      <c r="F57" s="17"/>
      <c r="G57" s="17"/>
      <c r="H57" s="19"/>
    </row>
    <row r="58" spans="1:8" s="20" customFormat="1" ht="12" customHeight="1" x14ac:dyDescent="0.25">
      <c r="A58" s="18"/>
      <c r="B58" s="140" t="s">
        <v>43</v>
      </c>
      <c r="C58" s="140"/>
      <c r="D58" s="140"/>
      <c r="E58" s="140"/>
      <c r="F58" s="140"/>
      <c r="G58" s="140"/>
      <c r="H58" s="19"/>
    </row>
    <row r="59" spans="1:8" s="20" customFormat="1" ht="12" customHeight="1" x14ac:dyDescent="0.25">
      <c r="A59" s="19"/>
      <c r="B59" s="137" t="s">
        <v>44</v>
      </c>
      <c r="C59" s="137"/>
      <c r="D59" s="28">
        <f>C61+C62+C63</f>
        <v>0</v>
      </c>
      <c r="E59" s="139" t="s">
        <v>45</v>
      </c>
      <c r="F59" s="139"/>
      <c r="G59" s="17"/>
      <c r="H59" s="19"/>
    </row>
    <row r="60" spans="1:8" s="20" customFormat="1" ht="12" customHeight="1" x14ac:dyDescent="0.25">
      <c r="A60" s="18"/>
      <c r="B60" s="140" t="s">
        <v>46</v>
      </c>
      <c r="C60" s="140"/>
      <c r="D60" s="140"/>
      <c r="E60" s="140"/>
      <c r="F60" s="140"/>
      <c r="G60" s="140"/>
      <c r="H60" s="19"/>
    </row>
    <row r="61" spans="1:8" s="20" customFormat="1" ht="12" customHeight="1" x14ac:dyDescent="0.25">
      <c r="A61" s="19"/>
      <c r="B61" s="27" t="s">
        <v>56</v>
      </c>
      <c r="C61" s="29"/>
      <c r="D61" s="138" t="s">
        <v>80</v>
      </c>
      <c r="E61" s="138"/>
      <c r="F61" s="138"/>
      <c r="G61" s="30">
        <f ca="1">E17</f>
        <v>46261</v>
      </c>
      <c r="H61" s="19"/>
    </row>
    <row r="62" spans="1:8" s="20" customFormat="1" ht="12" customHeight="1" x14ac:dyDescent="0.25">
      <c r="A62" s="19"/>
      <c r="B62" s="27" t="s">
        <v>57</v>
      </c>
      <c r="C62" s="31"/>
      <c r="D62" s="138" t="s">
        <v>47</v>
      </c>
      <c r="E62" s="138"/>
      <c r="F62" s="138"/>
      <c r="G62" s="30">
        <f ca="1">E17+7</f>
        <v>46268</v>
      </c>
      <c r="H62" s="32"/>
    </row>
    <row r="63" spans="1:8" s="20" customFormat="1" ht="12" customHeight="1" x14ac:dyDescent="0.25">
      <c r="A63" s="19"/>
      <c r="B63" s="27" t="s">
        <v>58</v>
      </c>
      <c r="C63" s="31"/>
      <c r="D63" s="138" t="s">
        <v>49</v>
      </c>
      <c r="E63" s="138"/>
      <c r="F63" s="138"/>
      <c r="G63" s="30">
        <f ca="1">+G62+26</f>
        <v>46294</v>
      </c>
      <c r="H63" s="32" t="s">
        <v>48</v>
      </c>
    </row>
    <row r="64" spans="1:8" s="20" customFormat="1" ht="12" customHeight="1" x14ac:dyDescent="0.25">
      <c r="A64" s="8"/>
      <c r="B64" s="116" t="s">
        <v>50</v>
      </c>
      <c r="C64" s="116"/>
      <c r="D64" s="116"/>
      <c r="E64" s="116"/>
      <c r="F64" s="116"/>
      <c r="G64" s="116"/>
      <c r="H64" s="33"/>
    </row>
    <row r="65" spans="1:8" s="20" customFormat="1" ht="12" customHeight="1" x14ac:dyDescent="0.2">
      <c r="A65" s="34" t="s">
        <v>51</v>
      </c>
      <c r="B65" s="144" t="s">
        <v>52</v>
      </c>
      <c r="C65" s="144"/>
      <c r="D65" s="144"/>
      <c r="E65" s="144"/>
      <c r="F65" s="144"/>
      <c r="G65" s="144"/>
    </row>
    <row r="66" spans="1:8" ht="12" customHeight="1" x14ac:dyDescent="0.25">
      <c r="B66" s="143" t="s">
        <v>59</v>
      </c>
      <c r="C66" s="143"/>
      <c r="D66" s="143"/>
      <c r="E66" s="143"/>
      <c r="F66" s="143" t="s">
        <v>53</v>
      </c>
      <c r="G66" s="143"/>
      <c r="H66" s="143"/>
    </row>
    <row r="67" spans="1:8" ht="12" customHeight="1" x14ac:dyDescent="0.25">
      <c r="B67" s="143" t="s">
        <v>55</v>
      </c>
      <c r="C67" s="143"/>
      <c r="D67" s="143"/>
      <c r="E67" s="47"/>
      <c r="F67" s="143" t="s">
        <v>54</v>
      </c>
      <c r="G67" s="143"/>
      <c r="H67" s="143"/>
    </row>
    <row r="68" spans="1:8" ht="12" customHeight="1" x14ac:dyDescent="0.25">
      <c r="B68" s="35"/>
      <c r="C68" s="35"/>
      <c r="D68" s="35"/>
      <c r="E68" s="35"/>
      <c r="F68" s="35"/>
      <c r="G68" s="35"/>
      <c r="H68" s="35"/>
    </row>
    <row r="71" spans="1:8" ht="15" customHeight="1" x14ac:dyDescent="0.25"/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C44:D44" name="Rango2"/>
    <protectedRange algorithmName="SHA-512" hashValue="jRsd99E24Wg0cREusBHWfr8AogbmoKcBAiIEI/AkVrYZ6d3Zv1r365CvDnomnIuIagvCXHSwta3CL7/ZYpI/1A==" saltValue="4GoUJy3q9tod8g93O8nnng==" spinCount="100000" sqref="B17:C17 E17 G15 G16:H16 D14 B14 B13:H13 B21:D21 E20:G22 B49:D49 B44 C43:D43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B23:D23 B25:D27" name="Rango1_2"/>
    <protectedRange algorithmName="SHA-512" hashValue="jRsd99E24Wg0cREusBHWfr8AogbmoKcBAiIEI/AkVrYZ6d3Zv1r365CvDnomnIuIagvCXHSwta3CL7/ZYpI/1A==" saltValue="4GoUJy3q9tod8g93O8nnng==" spinCount="100000" sqref="F32:G36 F31 F30:G30 E30:E36" name="Rango1_3"/>
    <protectedRange algorithmName="SHA-512" hashValue="1IwEtpPovyRjspz9ti3J5udl070IPZ9gDlGmM3ZH/lFyQlLVVL2qbaMds7kHvZZkPq7VvowLV2MqpNnf8owpjQ==" saltValue="SwYyjj//I75seGLqQP0hyQ==" spinCount="100000" sqref="E37:G38 E39" name="Rango2_2_1"/>
    <protectedRange algorithmName="SHA-512" hashValue="jRsd99E24Wg0cREusBHWfr8AogbmoKcBAiIEI/AkVrYZ6d3Zv1r365CvDnomnIuIagvCXHSwta3CL7/ZYpI/1A==" saltValue="4GoUJy3q9tod8g93O8nnng==" spinCount="100000" sqref="F43:G43" name="Rango1_1"/>
  </protectedRanges>
  <mergeCells count="81">
    <mergeCell ref="B53:G53"/>
    <mergeCell ref="D5:G5"/>
    <mergeCell ref="D6:H6"/>
    <mergeCell ref="B66:E66"/>
    <mergeCell ref="F66:H66"/>
    <mergeCell ref="F67:H67"/>
    <mergeCell ref="B67:D67"/>
    <mergeCell ref="B65:G65"/>
    <mergeCell ref="B55:G55"/>
    <mergeCell ref="B56:G56"/>
    <mergeCell ref="B57:C57"/>
    <mergeCell ref="B58:G58"/>
    <mergeCell ref="B59:C59"/>
    <mergeCell ref="D61:F61"/>
    <mergeCell ref="D62:F62"/>
    <mergeCell ref="D63:F63"/>
    <mergeCell ref="E59:F59"/>
    <mergeCell ref="B60:G60"/>
    <mergeCell ref="E45:G45"/>
    <mergeCell ref="E31:G31"/>
    <mergeCell ref="E32:G32"/>
    <mergeCell ref="B64:G64"/>
    <mergeCell ref="B54:G54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E39:G39"/>
    <mergeCell ref="E40:G40"/>
    <mergeCell ref="E41:G42"/>
    <mergeCell ref="E43:G43"/>
    <mergeCell ref="E44:G44"/>
    <mergeCell ref="B27:D27"/>
    <mergeCell ref="E27:G27"/>
    <mergeCell ref="E37:G38"/>
    <mergeCell ref="B28:D28"/>
    <mergeCell ref="E28:G28"/>
    <mergeCell ref="B29:G29"/>
    <mergeCell ref="B30:D30"/>
    <mergeCell ref="B31:D31"/>
    <mergeCell ref="B32:D33"/>
    <mergeCell ref="E33:G33"/>
    <mergeCell ref="E34:G34"/>
    <mergeCell ref="E35:G35"/>
    <mergeCell ref="E36:G36"/>
    <mergeCell ref="E30:G30"/>
    <mergeCell ref="B24:D24"/>
    <mergeCell ref="E24:G24"/>
    <mergeCell ref="B25:D25"/>
    <mergeCell ref="E25:G25"/>
    <mergeCell ref="B26:D26"/>
    <mergeCell ref="E26:G26"/>
    <mergeCell ref="B20:D20"/>
    <mergeCell ref="E20:G20"/>
    <mergeCell ref="B22:D22"/>
    <mergeCell ref="E22:G22"/>
    <mergeCell ref="B23:D23"/>
    <mergeCell ref="E23:G23"/>
    <mergeCell ref="B36:D37"/>
    <mergeCell ref="B9:G10"/>
    <mergeCell ref="D4:F4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</mergeCells>
  <hyperlinks>
    <hyperlink ref="D7" r:id="rId1" display="https://www.planosperu.com.pe" xr:uid="{EA7ACCE5-1051-4437-88CB-992F0A5EEFF2}"/>
  </hyperlinks>
  <printOptions horizontalCentered="1"/>
  <pageMargins left="0.59055118110236227" right="0.59055118110236227" top="0.59055118110236227" bottom="0" header="0" footer="0"/>
  <pageSetup paperSize="9" scale="8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DEC-IND</vt:lpstr>
      <vt:lpstr>'DEC-IND'!Área_de_impresión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2025-04-28T14:22:24Z</dcterms:created>
  <dcterms:modified xsi:type="dcterms:W3CDTF">2026-08-27T16:20:11Z</dcterms:modified>
</cp:coreProperties>
</file>