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pedupe-my.sharepoint.com/personal/u20207294_utp_edu_pe/Documents/"/>
    </mc:Choice>
  </mc:AlternateContent>
  <xr:revisionPtr revIDLastSave="8" documentId="8_{BF37983B-DE6D-41E1-9D93-822F87891BB8}" xr6:coauthVersionLast="47" xr6:coauthVersionMax="47" xr10:uidLastSave="{F8E9E509-6745-41F3-814C-37EC6E21B8D6}"/>
  <bookViews>
    <workbookView xWindow="-120" yWindow="-120" windowWidth="20730" windowHeight="1104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_xlnm.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12" l="1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F7" i="12" l="1"/>
  <c r="D53" i="12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<sst xmlns="http://schemas.openxmlformats.org/spreadsheetml/2006/main" count="587" uniqueCount="195">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</sst>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[$-F400]h:mm:ss\ AM/PM"/>
    <numFmt numFmtId="165" formatCode="[$-280A]h:mm:ss\ AM/PM;@"/>
    <numFmt numFmtId="166" formatCode="[$-280A]hh:mm:ss\ AM/PM;@"/>
    <numFmt numFmtId="167" formatCode="0.0"/>
    <numFmt numFmtId="168" formatCode="&quot;S/&quot;\ #,##0.00"/>
    <numFmt numFmtId="169" formatCode="[$S/-280A]\ #,##0.00"/>
    <numFmt numFmtId="170" formatCode="dd/mm/yy;@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86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5" fontId="0" fillId="0" borderId="0" xfId="0" applyNumberFormat="1"/>
    <xf numFmtId="165" fontId="0" fillId="2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165" fontId="0" fillId="7" borderId="0" xfId="0" applyNumberFormat="1" applyFill="1"/>
    <xf numFmtId="165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7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8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0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69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8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0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10" borderId="27" xfId="0" applyFont="1" applyFill="1" applyBorder="1"/>
    <xf numFmtId="0" fontId="1" fillId="10" borderId="28" xfId="0" applyFont="1" applyFill="1" applyBorder="1"/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/>
    <xf numFmtId="0" fontId="1" fillId="0" borderId="22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46" fontId="0" fillId="0" borderId="18" xfId="0" applyNumberFormat="1" applyBorder="1" applyAlignment="1">
      <alignment horizontal="center"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0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</cellXfs>
  <cellStyles count="2">
    <cellStyle name="Comma" xfId="1" builtinId="3"/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5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5" formatCode="hh:mm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5" formatCode="[$-280A]h:mm:ss\ AM/PM;@"/>
    </dxf>
    <dxf>
      <numFmt numFmtId="165" formatCode="[$-280A]h:mm:ss\ AM/PM;@"/>
    </dxf>
    <dxf>
      <numFmt numFmtId="165" formatCode="[$-280A]h:mm:ss\ AM/PM;@"/>
    </dxf>
    <dxf>
      <numFmt numFmtId="165" formatCode="[$-280A]h:mm:ss\ AM/PM;@"/>
    </dxf>
    <dxf>
      <numFmt numFmtId="19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[$-280A]h:mm:ss\ AM/PM;@"/>
    </dxf>
    <dxf>
      <numFmt numFmtId="19" formatCode="d/mm/yyyy"/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50">
      <calculatedColumnFormula>TODAY()</calculatedColumnFormula>
    </tableColumn>
    <tableColumn id="6" xr3:uid="{00000000-0010-0000-0000-000006000000}" name="Hora" dataDxfId="49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48">
  <autoFilter ref="A3:I95" xr:uid="{00000000-0009-0000-0100-000002000000}"/>
  <tableColumns count="9">
    <tableColumn id="1" xr3:uid="{00000000-0010-0000-0100-000001000000}" name="Codigo" dataDxfId="47"/>
    <tableColumn id="2" xr3:uid="{00000000-0010-0000-0100-000002000000}" name="Area" dataDxfId="46"/>
    <tableColumn id="4" xr3:uid="{00000000-0010-0000-0100-000004000000}" name="Fecha" dataDxfId="45"/>
    <tableColumn id="5" xr3:uid="{00000000-0010-0000-0100-000005000000}" name="Entrada" dataDxfId="44"/>
    <tableColumn id="6" xr3:uid="{00000000-0010-0000-0100-000006000000}" name="Inicio almuerzo" dataDxfId="43"/>
    <tableColumn id="7" xr3:uid="{00000000-0010-0000-0100-000007000000}" name="Fin almuerzo" dataDxfId="42"/>
    <tableColumn id="8" xr3:uid="{00000000-0010-0000-0100-000008000000}" name="Salida" dataDxfId="41"/>
    <tableColumn id="9" xr3:uid="{00000000-0010-0000-0100-000009000000}" name="Horas trabajadas" dataDxfId="40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39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8" totalsRowShown="0" headerRowDxfId="38" dataDxfId="37">
  <autoFilter ref="B18:H48" xr:uid="{368F10F7-D97C-4EEC-91B6-D9619F7D6FB1}"/>
  <tableColumns count="7">
    <tableColumn id="1" xr3:uid="{C741B5AD-BC4E-4DDF-8A54-19D0EC82F746}" name="DIA" dataDxfId="36">
      <calculatedColumnFormula>TEXT(Tabla8[[#This Row],[FECHA]],"dddd")</calculatedColumnFormula>
    </tableColumn>
    <tableColumn id="2" xr3:uid="{81EDD9E2-530E-447E-85A2-FB5B8A2578D3}" name="FECHA" dataDxfId="35"/>
    <tableColumn id="3" xr3:uid="{73E70672-57B9-4C70-9075-A68759984F3B}" name="ENTRADA" dataDxfId="34"/>
    <tableColumn id="4" xr3:uid="{6157444F-1406-49C9-8B49-33D722F13BC6}" name="ALMUERZO INICIO" dataDxfId="33"/>
    <tableColumn id="5" xr3:uid="{B7EE0369-141B-4491-A7E1-87B474010138}" name="ALMUERZO FIN" dataDxfId="32"/>
    <tableColumn id="6" xr3:uid="{67950041-FC7C-4B10-90D2-26520EABD255}" name="SALIDA" dataDxfId="31"/>
    <tableColumn id="7" xr3:uid="{5BC0AEA2-BC40-47EC-BA3A-192392EAE674}" name="TOTAL" dataDxfId="3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2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28" totalsRowDxfId="27"/>
    <tableColumn id="3" xr3:uid="{90769DA8-B4F0-415B-8AF5-3B9D03D80B1D}" name="Descanso" dataDxfId="26" totalsRowDxfId="25"/>
    <tableColumn id="4" xr3:uid="{F854A6EF-42E9-4079-A455-B06D4140DF3D}" name="Salida" dataDxfId="24" totalsRowDxfId="23"/>
    <tableColumn id="5" xr3:uid="{A5ED281D-B560-4984-8B62-44B34246263B}" name="Total" totalsRowFunction="custom" dataDxfId="22" totalsRowDxfId="2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87" t="s">
        <v>18</v>
      </c>
      <c r="C2" s="88"/>
      <c r="D2" s="89"/>
    </row>
    <row r="3" spans="2:4" ht="40.5" customHeight="1" x14ac:dyDescent="0.7">
      <c r="B3" s="90" t="str">
        <f ca="1">TEXT(NOW(),"H:MM am/pm")</f>
        <v>3:39 p. m.</v>
      </c>
      <c r="C3" s="91"/>
      <c r="D3" s="92"/>
    </row>
    <row r="4" spans="2:4" ht="16.5" thickBot="1" x14ac:dyDescent="0.3">
      <c r="B4" s="93">
        <f ca="1">TODAY()</f>
        <v>45842</v>
      </c>
      <c r="C4" s="94"/>
      <c r="D4" s="95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45842</v>
      </c>
      <c r="F64" s="18" t="str">
        <f ca="1">TEXT(NOW(),"H:MM am/pm")</f>
        <v>3:39 p. 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1" t="s">
        <v>20</v>
      </c>
      <c r="I71" s="102"/>
      <c r="J71" s="103"/>
    </row>
    <row r="72" spans="5:10" x14ac:dyDescent="0.25">
      <c r="E72" s="4"/>
      <c r="F72" s="11"/>
      <c r="H72" s="100" t="s">
        <v>21</v>
      </c>
      <c r="I72" s="104" t="s">
        <v>22</v>
      </c>
      <c r="J72" s="105"/>
    </row>
    <row r="73" spans="5:10" x14ac:dyDescent="0.25">
      <c r="E73" s="4"/>
      <c r="F73" s="11"/>
      <c r="H73" s="99"/>
      <c r="I73" s="106" t="s">
        <v>23</v>
      </c>
      <c r="J73" s="107"/>
    </row>
    <row r="74" spans="5:10" x14ac:dyDescent="0.25">
      <c r="E74" s="4"/>
      <c r="F74" s="11"/>
      <c r="H74" s="98" t="s">
        <v>24</v>
      </c>
      <c r="I74" s="106" t="s">
        <v>25</v>
      </c>
      <c r="J74" s="107"/>
    </row>
    <row r="75" spans="5:10" x14ac:dyDescent="0.25">
      <c r="E75" s="4"/>
      <c r="F75" s="11"/>
      <c r="H75" s="100"/>
      <c r="I75" s="106" t="s">
        <v>26</v>
      </c>
      <c r="J75" s="107"/>
    </row>
    <row r="76" spans="5:10" x14ac:dyDescent="0.25">
      <c r="E76" s="4"/>
      <c r="F76" s="11"/>
      <c r="H76" s="100"/>
      <c r="I76" s="106" t="s">
        <v>27</v>
      </c>
      <c r="J76" s="107"/>
    </row>
    <row r="77" spans="5:10" x14ac:dyDescent="0.25">
      <c r="E77" s="4"/>
      <c r="F77" s="11"/>
      <c r="H77" s="99"/>
      <c r="I77" s="97" t="s">
        <v>28</v>
      </c>
      <c r="J77" s="97"/>
    </row>
    <row r="78" spans="5:10" x14ac:dyDescent="0.25">
      <c r="E78" s="4"/>
      <c r="F78" s="11"/>
      <c r="H78" s="98" t="s">
        <v>29</v>
      </c>
      <c r="I78" s="97" t="s">
        <v>31</v>
      </c>
      <c r="J78" s="97"/>
    </row>
    <row r="79" spans="5:10" x14ac:dyDescent="0.25">
      <c r="E79" s="4"/>
      <c r="F79" s="11"/>
      <c r="H79" s="100"/>
      <c r="I79" s="97" t="s">
        <v>30</v>
      </c>
      <c r="J79" s="97"/>
    </row>
    <row r="80" spans="5:10" x14ac:dyDescent="0.25">
      <c r="E80" s="4"/>
      <c r="F80" s="11"/>
      <c r="H80" s="100"/>
      <c r="I80" s="97" t="s">
        <v>32</v>
      </c>
      <c r="J80" s="97"/>
    </row>
    <row r="81" spans="5:10" x14ac:dyDescent="0.25">
      <c r="E81" s="4"/>
      <c r="F81" s="11"/>
      <c r="H81" s="100"/>
      <c r="I81" s="97" t="s">
        <v>33</v>
      </c>
      <c r="J81" s="97"/>
    </row>
    <row r="82" spans="5:10" x14ac:dyDescent="0.25">
      <c r="E82" s="4"/>
      <c r="F82" s="11"/>
      <c r="H82" s="99"/>
      <c r="I82" s="97" t="s">
        <v>34</v>
      </c>
      <c r="J82" s="97"/>
    </row>
    <row r="83" spans="5:10" x14ac:dyDescent="0.25">
      <c r="E83" s="4"/>
      <c r="F83" s="11"/>
      <c r="H83" s="98" t="s">
        <v>38</v>
      </c>
      <c r="I83" s="97" t="s">
        <v>39</v>
      </c>
      <c r="J83" s="97"/>
    </row>
    <row r="84" spans="5:10" x14ac:dyDescent="0.25">
      <c r="E84" s="4"/>
      <c r="F84" s="11"/>
      <c r="H84" s="99"/>
      <c r="I84" s="97" t="s">
        <v>30</v>
      </c>
      <c r="J84" s="97"/>
    </row>
    <row r="85" spans="5:10" x14ac:dyDescent="0.25">
      <c r="E85" s="4"/>
      <c r="F85" s="11"/>
      <c r="H85" s="24" t="s">
        <v>53</v>
      </c>
      <c r="I85" s="97" t="s">
        <v>54</v>
      </c>
      <c r="J85" s="97"/>
    </row>
    <row r="86" spans="5:10" x14ac:dyDescent="0.25">
      <c r="E86" s="4"/>
      <c r="F86" s="11"/>
      <c r="H86" t="s">
        <v>63</v>
      </c>
      <c r="I86" s="96" t="s">
        <v>64</v>
      </c>
      <c r="J86" s="96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  <mergeCell ref="H72:H73"/>
    <mergeCell ref="I77:J77"/>
    <mergeCell ref="H71:J71"/>
    <mergeCell ref="I72:J72"/>
    <mergeCell ref="I73:J73"/>
    <mergeCell ref="I74:J74"/>
    <mergeCell ref="I86:J86"/>
    <mergeCell ref="I85:J85"/>
    <mergeCell ref="I83:J83"/>
    <mergeCell ref="I84:J84"/>
    <mergeCell ref="H83:H84"/>
  </mergeCells>
  <conditionalFormatting sqref="F65:F69">
    <cfRule type="cellIs" dxfId="20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19" priority="4" operator="between">
      <formula>$F$2</formula>
      <formula>$E$2</formula>
    </cfRule>
    <cfRule type="cellIs" dxfId="18" priority="5" operator="greaterThan">
      <formula>$E$2</formula>
    </cfRule>
    <cfRule type="cellIs" dxfId="17" priority="6" operator="lessThanOrEqual">
      <formula>$D$2</formula>
    </cfRule>
  </conditionalFormatting>
  <conditionalFormatting sqref="H3:H95">
    <cfRule type="cellIs" dxfId="16" priority="8" operator="lessThan">
      <formula>9.5</formula>
    </cfRule>
  </conditionalFormatting>
  <conditionalFormatting sqref="H4:H95">
    <cfRule type="cellIs" dxfId="15" priority="7" operator="greaterThanOrEqual">
      <formula>$H$1</formula>
    </cfRule>
  </conditionalFormatting>
  <conditionalFormatting sqref="I3:I95">
    <cfRule type="cellIs" dxfId="14" priority="1" operator="equal">
      <formula>$I$2</formula>
    </cfRule>
    <cfRule type="cellIs" dxfId="13" priority="2" operator="greaterThan">
      <formula>$I$2</formula>
    </cfRule>
  </conditionalFormatting>
  <conditionalFormatting sqref="I4:I95">
    <cfRule type="cellIs" dxfId="12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11" priority="1" operator="equal">
      <formula>"Feriado"</formula>
    </cfRule>
    <cfRule type="cellIs" dxfId="10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Reporte">
          <controlPr defaultSize="0" autoLine="0" r:id="rId5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4" name="btnReporte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100" r:id="rId8" name="btnGuardar">
          <controlPr defaultSize="0" autoLine="0" r:id="rId9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8" name="btnGuard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12" t="s">
        <v>139</v>
      </c>
      <c r="D1" s="113"/>
      <c r="E1" s="113"/>
      <c r="F1" s="113"/>
      <c r="G1" s="114"/>
      <c r="H1" s="108" t="s">
        <v>140</v>
      </c>
      <c r="I1" s="109"/>
    </row>
    <row r="2" spans="1:10" x14ac:dyDescent="0.25">
      <c r="A2" s="37"/>
      <c r="C2" s="115"/>
      <c r="D2" s="116"/>
      <c r="E2" s="116"/>
      <c r="F2" s="116"/>
      <c r="G2" s="117"/>
      <c r="H2" s="110"/>
      <c r="I2" s="111"/>
    </row>
    <row r="3" spans="1:10" x14ac:dyDescent="0.25">
      <c r="A3" s="37"/>
      <c r="C3" s="121" t="str">
        <f>"DEL " &amp;TEXT(Datos!B11,"dd/mm/yyyy")&amp;" AL " &amp;TEXT(Datos!B12,"dd/mm/yyyy")</f>
        <v>DEL 00/01/1900 AL 00/01/1900</v>
      </c>
      <c r="D3" s="122"/>
      <c r="E3" s="122"/>
      <c r="F3" s="122"/>
      <c r="G3" s="123"/>
      <c r="H3" s="108" t="s">
        <v>141</v>
      </c>
      <c r="I3" s="109"/>
    </row>
    <row r="4" spans="1:10" x14ac:dyDescent="0.25">
      <c r="A4" s="36"/>
      <c r="B4" s="38"/>
      <c r="C4" s="124"/>
      <c r="D4" s="125"/>
      <c r="E4" s="125"/>
      <c r="F4" s="125"/>
      <c r="G4" s="126"/>
      <c r="H4" s="110"/>
      <c r="I4" s="111"/>
    </row>
    <row r="6" spans="1:10" x14ac:dyDescent="0.25">
      <c r="A6" s="44" t="s">
        <v>92</v>
      </c>
      <c r="B6" s="118" t="s">
        <v>123</v>
      </c>
      <c r="C6" s="118"/>
      <c r="D6" s="118"/>
      <c r="E6" s="118"/>
      <c r="F6" s="64" t="s">
        <v>164</v>
      </c>
      <c r="G6" s="64" t="s">
        <v>170</v>
      </c>
      <c r="H6" s="119" t="s">
        <v>135</v>
      </c>
      <c r="I6" s="120"/>
    </row>
    <row r="7" spans="1:10" x14ac:dyDescent="0.25">
      <c r="A7" s="24">
        <f>Datos!B2</f>
        <v>0</v>
      </c>
      <c r="B7" s="133">
        <f>Datos!B3</f>
        <v>0</v>
      </c>
      <c r="C7" s="134"/>
      <c r="D7" s="134"/>
      <c r="E7" s="135"/>
      <c r="F7" s="60">
        <f>COUNTIF(Tabla8[DIA],"&lt;&gt;sábado")</f>
        <v>0</v>
      </c>
      <c r="G7" s="66">
        <v>0.34375</v>
      </c>
      <c r="H7" s="131">
        <f>G10*F7</f>
        <v>0</v>
      </c>
      <c r="I7" s="132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182" t="str">
        <f>TEXT(Tabla8[[#This Row],[FECHA]],"dddd")</f>
        <v>sábado</v>
      </c>
      <c r="C19" s="183"/>
      <c r="D19" s="52"/>
      <c r="E19" s="181"/>
      <c r="F19" s="181"/>
      <c r="G19" s="185"/>
      <c r="H19" s="184"/>
    </row>
    <row r="20" spans="2:8" x14ac:dyDescent="0.25">
      <c r="B20" s="182" t="str">
        <f>TEXT(Tabla8[[#This Row],[FECHA]],"dddd")</f>
        <v>sábado</v>
      </c>
      <c r="C20" s="183"/>
      <c r="D20" s="52"/>
      <c r="E20" s="181"/>
      <c r="F20" s="181"/>
      <c r="G20" s="185"/>
      <c r="H20" s="184"/>
    </row>
    <row r="21" spans="2:8" x14ac:dyDescent="0.25">
      <c r="B21" s="182" t="str">
        <f>TEXT(Tabla8[[#This Row],[FECHA]],"dddd")</f>
        <v>sábado</v>
      </c>
      <c r="C21" s="183"/>
      <c r="D21" s="52"/>
      <c r="E21" s="181"/>
      <c r="F21" s="181"/>
      <c r="G21" s="185"/>
      <c r="H21" s="184"/>
    </row>
    <row r="22" spans="2:8" x14ac:dyDescent="0.25">
      <c r="B22" s="182" t="str">
        <f>TEXT(Tabla8[[#This Row],[FECHA]],"dddd")</f>
        <v>sábado</v>
      </c>
      <c r="C22" s="183"/>
      <c r="D22" s="52"/>
      <c r="E22" s="181"/>
      <c r="F22" s="181"/>
      <c r="G22" s="185"/>
      <c r="H22" s="184"/>
    </row>
    <row r="23" spans="2:8" x14ac:dyDescent="0.25">
      <c r="B23" s="182" t="str">
        <f>TEXT(Tabla8[[#This Row],[FECHA]],"dddd")</f>
        <v>sábado</v>
      </c>
      <c r="C23" s="183"/>
      <c r="D23" s="52"/>
      <c r="E23" s="181"/>
      <c r="F23" s="181"/>
      <c r="G23" s="185"/>
      <c r="H23" s="184"/>
    </row>
    <row r="24" spans="2:8" x14ac:dyDescent="0.25">
      <c r="B24" s="182" t="str">
        <f>TEXT(Tabla8[[#This Row],[FECHA]],"dddd")</f>
        <v>sábado</v>
      </c>
      <c r="C24" s="183"/>
      <c r="D24" s="52"/>
      <c r="E24" s="181"/>
      <c r="F24" s="181"/>
      <c r="G24" s="185"/>
      <c r="H24" s="184"/>
    </row>
    <row r="25" spans="2:8" x14ac:dyDescent="0.25">
      <c r="B25" s="182" t="str">
        <f>TEXT(Tabla8[[#This Row],[FECHA]],"dddd")</f>
        <v>sábado</v>
      </c>
      <c r="C25" s="183"/>
      <c r="D25" s="52"/>
      <c r="E25" s="181"/>
      <c r="F25" s="181"/>
      <c r="G25" s="185"/>
      <c r="H25" s="184"/>
    </row>
    <row r="26" spans="2:8" x14ac:dyDescent="0.25">
      <c r="B26" s="182" t="str">
        <f>TEXT(Tabla8[[#This Row],[FECHA]],"dddd")</f>
        <v>sábado</v>
      </c>
      <c r="C26" s="183"/>
      <c r="D26" s="52"/>
      <c r="E26" s="181"/>
      <c r="F26" s="181"/>
      <c r="G26" s="185"/>
      <c r="H26" s="184"/>
    </row>
    <row r="27" spans="2:8" x14ac:dyDescent="0.25">
      <c r="B27" s="55" t="str">
        <f>TEXT(Tabla8[[#This Row],[FECHA]],"dddd")</f>
        <v>sábado</v>
      </c>
      <c r="C27" s="62"/>
      <c r="D27" s="67"/>
      <c r="E27" s="67"/>
      <c r="F27" s="83"/>
      <c r="G27" s="67"/>
      <c r="H27" s="52"/>
    </row>
    <row r="28" spans="2:8" x14ac:dyDescent="0.25">
      <c r="B28" s="55" t="str">
        <f>TEXT(Tabla8[[#This Row],[FECHA]],"dddd")</f>
        <v>sábado</v>
      </c>
      <c r="C28" s="62"/>
      <c r="D28" s="67"/>
      <c r="E28" s="67"/>
      <c r="F28" s="67"/>
      <c r="G28" s="67"/>
      <c r="H28" s="52"/>
    </row>
    <row r="29" spans="2:8" x14ac:dyDescent="0.25">
      <c r="B29" s="55" t="str">
        <f>TEXT(Tabla8[[#This Row],[FECHA]],"dddd")</f>
        <v>sábado</v>
      </c>
      <c r="C29" s="62"/>
      <c r="D29" s="67"/>
      <c r="E29" s="83"/>
      <c r="F29" s="67"/>
      <c r="G29" s="67"/>
      <c r="H29" s="52"/>
    </row>
    <row r="30" spans="2:8" x14ac:dyDescent="0.25">
      <c r="B30" s="55" t="str">
        <f>TEXT(Tabla8[[#This Row],[FECHA]],"dddd")</f>
        <v>sábado</v>
      </c>
      <c r="C30" s="62"/>
      <c r="D30" s="67"/>
      <c r="E30" s="67"/>
      <c r="F30" s="67"/>
      <c r="G30" s="67"/>
      <c r="H30" s="52"/>
    </row>
    <row r="31" spans="2:8" x14ac:dyDescent="0.25">
      <c r="B31" s="55" t="str">
        <f>TEXT(Tabla8[[#This Row],[FECHA]],"dddd")</f>
        <v>sábado</v>
      </c>
      <c r="C31" s="62"/>
      <c r="D31" s="67"/>
      <c r="E31" s="67"/>
      <c r="F31" s="67"/>
      <c r="G31" s="67"/>
      <c r="H31" s="52"/>
    </row>
    <row r="32" spans="2:8" x14ac:dyDescent="0.25">
      <c r="B32" s="55" t="str">
        <f>TEXT(Tabla8[[#This Row],[FECHA]],"dddd")</f>
        <v>sábado</v>
      </c>
      <c r="C32" s="62"/>
      <c r="D32" s="67"/>
      <c r="E32" s="67"/>
      <c r="F32" s="67"/>
      <c r="G32" s="67"/>
      <c r="H32" s="52"/>
    </row>
    <row r="33" spans="2:12" x14ac:dyDescent="0.25">
      <c r="B33" s="55" t="str">
        <f>TEXT(Tabla8[[#This Row],[FECHA]],"dddd")</f>
        <v>sábado</v>
      </c>
      <c r="C33" s="62"/>
      <c r="D33" s="67"/>
      <c r="E33" s="67"/>
      <c r="F33" s="67"/>
      <c r="G33" s="67"/>
      <c r="H33" s="52"/>
    </row>
    <row r="34" spans="2:12" x14ac:dyDescent="0.25">
      <c r="B34" s="55" t="str">
        <f>TEXT(Tabla8[[#This Row],[FECHA]],"dddd")</f>
        <v>sábado</v>
      </c>
      <c r="C34" s="62"/>
      <c r="D34" s="67"/>
      <c r="E34" s="67"/>
      <c r="F34" s="67"/>
      <c r="G34" s="67"/>
      <c r="H34" s="52"/>
    </row>
    <row r="35" spans="2:12" x14ac:dyDescent="0.25">
      <c r="B35" s="55" t="str">
        <f>TEXT(Tabla8[[#This Row],[FECHA]],"dddd")</f>
        <v>sábado</v>
      </c>
      <c r="C35" s="62"/>
      <c r="D35" s="67"/>
      <c r="E35" s="67"/>
      <c r="F35" s="67"/>
      <c r="G35" s="67"/>
      <c r="H35" s="52"/>
    </row>
    <row r="36" spans="2:12" x14ac:dyDescent="0.25">
      <c r="B36" s="55" t="str">
        <f>TEXT(Tabla8[[#This Row],[FECHA]],"dddd")</f>
        <v>sábado</v>
      </c>
      <c r="C36" s="62"/>
      <c r="D36" s="67"/>
      <c r="E36" s="67"/>
      <c r="F36" s="67"/>
      <c r="G36" s="67"/>
      <c r="H36" s="52"/>
    </row>
    <row r="37" spans="2:12" x14ac:dyDescent="0.25">
      <c r="B37" s="55" t="str">
        <f>TEXT(Tabla8[[#This Row],[FECHA]],"dddd")</f>
        <v>sábado</v>
      </c>
      <c r="C37" s="62"/>
      <c r="D37" s="67"/>
      <c r="E37" s="67"/>
      <c r="F37" s="67"/>
      <c r="G37" s="67"/>
      <c r="H37" s="52"/>
    </row>
    <row r="38" spans="2:12" x14ac:dyDescent="0.25">
      <c r="B38" s="55" t="str">
        <f>TEXT(Tabla8[[#This Row],[FECHA]],"dddd")</f>
        <v>sábado</v>
      </c>
      <c r="C38" s="62"/>
      <c r="D38" s="67"/>
      <c r="E38" s="67"/>
      <c r="F38" s="67"/>
      <c r="G38" s="67"/>
      <c r="H38" s="52"/>
    </row>
    <row r="39" spans="2:12" x14ac:dyDescent="0.25">
      <c r="B39" s="55" t="str">
        <f>TEXT(Tabla8[[#This Row],[FECHA]],"dddd")</f>
        <v>sábado</v>
      </c>
      <c r="C39" s="62"/>
      <c r="D39" s="67"/>
      <c r="E39" s="67"/>
      <c r="F39" s="67"/>
      <c r="G39" s="67"/>
      <c r="H39" s="52"/>
    </row>
    <row r="40" spans="2:12" x14ac:dyDescent="0.25">
      <c r="B40" s="55" t="str">
        <f>TEXT(Tabla8[[#This Row],[FECHA]],"dddd")</f>
        <v>sábado</v>
      </c>
      <c r="C40" s="62"/>
      <c r="D40" s="67"/>
      <c r="E40" s="67"/>
      <c r="F40" s="67"/>
      <c r="G40" s="67"/>
      <c r="H40" s="52"/>
    </row>
    <row r="41" spans="2:12" x14ac:dyDescent="0.25">
      <c r="B41" s="55" t="str">
        <f>TEXT(Tabla8[[#This Row],[FECHA]],"dddd")</f>
        <v>sábado</v>
      </c>
      <c r="C41" s="62"/>
      <c r="D41" s="67"/>
      <c r="E41" s="67"/>
      <c r="F41" s="67"/>
      <c r="G41" s="67"/>
      <c r="H41" s="52"/>
    </row>
    <row r="42" spans="2:12" x14ac:dyDescent="0.25">
      <c r="B42" s="55" t="str">
        <f>TEXT(Tabla8[[#This Row],[FECHA]],"dddd")</f>
        <v>sábado</v>
      </c>
      <c r="C42" s="62"/>
      <c r="D42" s="67"/>
      <c r="E42" s="67"/>
      <c r="F42" s="67"/>
      <c r="G42" s="67"/>
      <c r="H42" s="52"/>
    </row>
    <row r="43" spans="2:12" x14ac:dyDescent="0.25">
      <c r="B43" s="55" t="str">
        <f>TEXT(Tabla8[[#This Row],[FECHA]],"dddd")</f>
        <v>sábado</v>
      </c>
      <c r="C43" s="62"/>
      <c r="D43" s="67"/>
      <c r="E43" s="67"/>
      <c r="F43" s="67"/>
      <c r="G43" s="67"/>
      <c r="H43" s="52"/>
    </row>
    <row r="44" spans="2:12" x14ac:dyDescent="0.25">
      <c r="B44" s="55" t="str">
        <f>TEXT(Tabla8[[#This Row],[FECHA]],"dddd")</f>
        <v>sábado</v>
      </c>
      <c r="C44" s="62"/>
      <c r="D44" s="67"/>
      <c r="E44" s="67"/>
      <c r="F44" s="67"/>
      <c r="G44" s="67"/>
      <c r="H44" s="52"/>
    </row>
    <row r="45" spans="2:12" x14ac:dyDescent="0.25">
      <c r="B45" s="55" t="str">
        <f>TEXT(Tabla8[[#This Row],[FECHA]],"dddd")</f>
        <v>sábado</v>
      </c>
      <c r="C45" s="62"/>
      <c r="D45" s="67"/>
      <c r="E45" s="67"/>
      <c r="F45" s="67"/>
      <c r="G45" s="67"/>
      <c r="H45" s="52"/>
    </row>
    <row r="46" spans="2:12" x14ac:dyDescent="0.25">
      <c r="B46" s="55" t="str">
        <f>TEXT(Tabla8[[#This Row],[FECHA]],"dddd")</f>
        <v>sábado</v>
      </c>
      <c r="C46" s="62"/>
      <c r="D46" s="67"/>
      <c r="E46" s="67"/>
      <c r="F46" s="67"/>
      <c r="G46" s="67"/>
      <c r="H46" s="52"/>
    </row>
    <row r="47" spans="2:12" x14ac:dyDescent="0.25">
      <c r="B47" s="55" t="str">
        <f>TEXT(Tabla8[[#This Row],[FECHA]],"dddd")</f>
        <v>sábado</v>
      </c>
      <c r="C47" s="62"/>
      <c r="D47" s="67"/>
      <c r="E47" s="67"/>
      <c r="F47" s="67"/>
      <c r="G47" s="67"/>
      <c r="H47" s="52"/>
      <c r="I47" s="51"/>
      <c r="J47" s="94"/>
      <c r="K47" s="94"/>
    </row>
    <row r="48" spans="2:12" x14ac:dyDescent="0.25">
      <c r="B48" s="55" t="str">
        <f>TEXT(Tabla8[[#This Row],[FECHA]],"dddd")</f>
        <v>sábado</v>
      </c>
      <c r="C48" s="84"/>
      <c r="D48" s="83"/>
      <c r="E48" s="83"/>
      <c r="F48" s="83"/>
      <c r="G48" s="83"/>
      <c r="H48" s="52"/>
      <c r="I48" s="23"/>
      <c r="J48" s="94" t="s">
        <v>191</v>
      </c>
      <c r="K48" s="94"/>
      <c r="L48" s="47">
        <v>0.57638888888888895</v>
      </c>
    </row>
    <row r="49" spans="1:12" x14ac:dyDescent="0.25"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44" t="s">
        <v>165</v>
      </c>
      <c r="F50" s="144"/>
      <c r="G50" s="144" t="s">
        <v>166</v>
      </c>
      <c r="H50" s="144"/>
      <c r="J50" s="136" t="s">
        <v>159</v>
      </c>
      <c r="K50" s="137"/>
      <c r="L50" s="42"/>
    </row>
    <row r="51" spans="1:12" x14ac:dyDescent="0.25">
      <c r="A51">
        <v>0</v>
      </c>
      <c r="B51">
        <f>COUNTIF(Tabla8[ENTRADA],"&gt;"&amp;G7)</f>
        <v>0</v>
      </c>
      <c r="C51">
        <f>COUNTIF(Tabla8[ALMUERZO FIN],"&gt;"&amp;L48)</f>
        <v>0</v>
      </c>
      <c r="D51">
        <f>COUNTBLANK(Tabla8[TOTAL])</f>
        <v>30</v>
      </c>
      <c r="E51" s="145">
        <f>SUM(Tabla8[TOTAL])</f>
        <v>0</v>
      </c>
      <c r="F51" s="145"/>
      <c r="G51" s="145" t="str">
        <f>IF(H7&gt;E51,H7-E51,"00:00")</f>
        <v>00:00</v>
      </c>
      <c r="H51" s="145"/>
      <c r="I51" s="41"/>
      <c r="J51" s="140" t="s">
        <v>158</v>
      </c>
      <c r="K51" s="141"/>
      <c r="L51" s="1"/>
    </row>
    <row r="53" spans="1:12" x14ac:dyDescent="0.25">
      <c r="B53" s="142" t="s">
        <v>121</v>
      </c>
      <c r="C53" s="143"/>
      <c r="D53" s="46">
        <f>Datos!B6</f>
        <v>0</v>
      </c>
      <c r="F53" s="136" t="s">
        <v>134</v>
      </c>
      <c r="G53" s="137"/>
      <c r="H53" s="48">
        <f>L50+L51/60</f>
        <v>0</v>
      </c>
    </row>
    <row r="54" spans="1:12" x14ac:dyDescent="0.25">
      <c r="B54" s="127" t="s">
        <v>183</v>
      </c>
      <c r="C54" s="128"/>
      <c r="D54" s="46">
        <f>D53/30</f>
        <v>0</v>
      </c>
      <c r="E54" s="43"/>
      <c r="F54" s="138" t="s">
        <v>166</v>
      </c>
      <c r="G54" s="139"/>
      <c r="H54" s="46">
        <f>$D$55*$H$53*2</f>
        <v>0</v>
      </c>
    </row>
    <row r="55" spans="1:12" x14ac:dyDescent="0.25">
      <c r="B55" s="127" t="s">
        <v>184</v>
      </c>
      <c r="C55" s="128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9" t="s">
        <v>108</v>
      </c>
      <c r="C56" s="130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4"/>
      <c r="C58" s="94"/>
      <c r="F58" s="85" t="s">
        <v>187</v>
      </c>
      <c r="G58" s="86"/>
      <c r="H58" s="46">
        <f>SUM(H54:H57)</f>
        <v>0</v>
      </c>
    </row>
  </sheetData>
  <mergeCells count="23"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  <mergeCell ref="B58:C58"/>
    <mergeCell ref="B55:C55"/>
    <mergeCell ref="B56:C56"/>
    <mergeCell ref="H7:I7"/>
    <mergeCell ref="B7:E7"/>
    <mergeCell ref="J47:K47"/>
    <mergeCell ref="J48:K48"/>
    <mergeCell ref="H1:I2"/>
    <mergeCell ref="C1:G2"/>
    <mergeCell ref="B6:E6"/>
    <mergeCell ref="H6:I6"/>
    <mergeCell ref="C3:G4"/>
    <mergeCell ref="H3:I4"/>
  </mergeCells>
  <phoneticPr fontId="9" type="noConversion"/>
  <conditionalFormatting sqref="D19:G48">
    <cfRule type="cellIs" dxfId="9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8">
    <cfRule type="cellIs" dxfId="8" priority="1" operator="equal">
      <formula>"Vacaciones"</formula>
    </cfRule>
    <cfRule type="cellIs" dxfId="7" priority="5" operator="greaterThan">
      <formula>$G$7</formula>
    </cfRule>
    <cfRule type="cellIs" dxfId="6" priority="7" operator="greaterThan">
      <formula>$D$10</formula>
    </cfRule>
  </conditionalFormatting>
  <conditionalFormatting sqref="F19:F48">
    <cfRule type="cellIs" dxfId="5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12" t="s">
        <v>91</v>
      </c>
      <c r="D1" s="113"/>
      <c r="E1" s="113"/>
      <c r="F1" s="113"/>
      <c r="G1" s="114"/>
      <c r="H1" s="108" t="s">
        <v>113</v>
      </c>
      <c r="I1" s="153"/>
      <c r="J1" s="109"/>
    </row>
    <row r="2" spans="1:10" ht="15.75" customHeight="1" x14ac:dyDescent="0.25">
      <c r="A2" s="37"/>
      <c r="C2" s="115"/>
      <c r="D2" s="116"/>
      <c r="E2" s="116"/>
      <c r="F2" s="116"/>
      <c r="G2" s="117"/>
      <c r="H2" s="110"/>
      <c r="I2" s="154"/>
      <c r="J2" s="111"/>
    </row>
    <row r="3" spans="1:10" ht="43.5" customHeight="1" x14ac:dyDescent="0.25">
      <c r="A3" s="36"/>
      <c r="B3" s="38"/>
      <c r="C3" s="133" t="str">
        <f>'Reporte de Asistencia'!C3</f>
        <v>DEL 00/01/1900 AL 00/01/1900</v>
      </c>
      <c r="D3" s="134"/>
      <c r="E3" s="134"/>
      <c r="F3" s="134"/>
      <c r="G3" s="135"/>
      <c r="H3" s="119" t="s">
        <v>188</v>
      </c>
      <c r="I3" s="155"/>
      <c r="J3" s="120"/>
    </row>
    <row r="5" spans="1:10" ht="19.5" customHeight="1" x14ac:dyDescent="0.25">
      <c r="A5" s="77" t="s">
        <v>92</v>
      </c>
      <c r="B5" s="161" t="s">
        <v>123</v>
      </c>
      <c r="C5" s="162"/>
      <c r="D5" s="162"/>
      <c r="E5" s="163"/>
      <c r="F5" s="108" t="s">
        <v>116</v>
      </c>
      <c r="G5" s="109"/>
      <c r="H5" s="108" t="s">
        <v>143</v>
      </c>
      <c r="I5" s="109"/>
      <c r="J5" s="79" t="s">
        <v>93</v>
      </c>
    </row>
    <row r="6" spans="1:10" ht="18" customHeight="1" x14ac:dyDescent="0.25">
      <c r="A6" s="78">
        <f>'Reporte de Asistencia'!A7</f>
        <v>0</v>
      </c>
      <c r="B6" s="167">
        <f>'Reporte de Asistencia'!B7</f>
        <v>0</v>
      </c>
      <c r="C6" s="168"/>
      <c r="D6" s="168"/>
      <c r="E6" s="169"/>
      <c r="F6" s="166">
        <f>Datos!B10</f>
        <v>0</v>
      </c>
      <c r="G6" s="126"/>
      <c r="H6" s="166" t="str">
        <f>IF(Datos!B13="","",Datos!B13)</f>
        <v/>
      </c>
      <c r="I6" s="126"/>
      <c r="J6" s="80">
        <f>Datos!B6</f>
        <v>0</v>
      </c>
    </row>
    <row r="7" spans="1:10" ht="18.75" customHeight="1" x14ac:dyDescent="0.25">
      <c r="A7" s="161" t="s">
        <v>94</v>
      </c>
      <c r="B7" s="163"/>
      <c r="C7" s="161" t="s">
        <v>95</v>
      </c>
      <c r="D7" s="162"/>
      <c r="E7" s="162"/>
      <c r="F7" s="162"/>
      <c r="G7" s="162"/>
      <c r="H7" s="163"/>
      <c r="I7" s="108" t="s">
        <v>118</v>
      </c>
      <c r="J7" s="109"/>
    </row>
    <row r="8" spans="1:10" ht="18" customHeight="1" x14ac:dyDescent="0.25">
      <c r="A8" s="167">
        <f>Datos!B4</f>
        <v>0</v>
      </c>
      <c r="B8" s="169"/>
      <c r="C8" s="124"/>
      <c r="D8" s="125"/>
      <c r="E8" s="125"/>
      <c r="F8" s="125"/>
      <c r="G8" s="125"/>
      <c r="H8" s="126"/>
      <c r="I8" s="124">
        <f>'Reporte de Asistencia'!B51</f>
        <v>0</v>
      </c>
      <c r="J8" s="126"/>
    </row>
    <row r="9" spans="1:10" ht="17.25" customHeight="1" x14ac:dyDescent="0.25">
      <c r="A9" s="161" t="s">
        <v>96</v>
      </c>
      <c r="B9" s="162"/>
      <c r="C9" s="162"/>
      <c r="D9" s="162"/>
      <c r="E9" s="162"/>
      <c r="F9" s="163"/>
      <c r="G9" s="108" t="s">
        <v>117</v>
      </c>
      <c r="H9" s="109"/>
      <c r="I9" s="108" t="s">
        <v>97</v>
      </c>
      <c r="J9" s="109"/>
    </row>
    <row r="10" spans="1:10" ht="18.75" customHeight="1" x14ac:dyDescent="0.25">
      <c r="A10" s="167">
        <f>Datos!B5</f>
        <v>0</v>
      </c>
      <c r="B10" s="168"/>
      <c r="C10" s="168"/>
      <c r="D10" s="168"/>
      <c r="E10" s="168"/>
      <c r="F10" s="169"/>
      <c r="G10" s="170" t="str">
        <f>'Reporte de Asistencia'!G51</f>
        <v>00:00</v>
      </c>
      <c r="H10" s="126"/>
      <c r="I10" s="124">
        <f>'Reporte de Asistencia'!D51</f>
        <v>30</v>
      </c>
      <c r="J10" s="126"/>
    </row>
    <row r="11" spans="1:10" ht="18" customHeight="1" x14ac:dyDescent="0.25">
      <c r="A11" s="108" t="s">
        <v>98</v>
      </c>
      <c r="B11" s="109"/>
      <c r="C11" s="108" t="s">
        <v>122</v>
      </c>
      <c r="D11" s="109"/>
      <c r="E11" s="108" t="s">
        <v>100</v>
      </c>
      <c r="F11" s="109"/>
      <c r="G11" s="108" t="s">
        <v>101</v>
      </c>
      <c r="H11" s="109"/>
      <c r="I11" s="108" t="s">
        <v>104</v>
      </c>
      <c r="J11" s="109"/>
    </row>
    <row r="12" spans="1:10" ht="18" customHeight="1" x14ac:dyDescent="0.25">
      <c r="A12" s="156">
        <f>'Reporte de Asistencia'!F7</f>
        <v>0</v>
      </c>
      <c r="B12" s="157"/>
      <c r="C12" s="164">
        <f>'Reporte de Asistencia'!H7</f>
        <v>0</v>
      </c>
      <c r="D12" s="157"/>
      <c r="E12" s="165" t="s">
        <v>114</v>
      </c>
      <c r="F12" s="157"/>
      <c r="G12" s="156" t="s">
        <v>114</v>
      </c>
      <c r="H12" s="157"/>
      <c r="I12" s="156" t="s">
        <v>105</v>
      </c>
      <c r="J12" s="157"/>
    </row>
    <row r="13" spans="1:10" ht="18" customHeight="1" x14ac:dyDescent="0.25">
      <c r="A13" s="108" t="s">
        <v>99</v>
      </c>
      <c r="B13" s="109"/>
      <c r="C13" s="171" t="s">
        <v>138</v>
      </c>
      <c r="D13" s="172"/>
      <c r="E13" s="108">
        <f>Datos!B7</f>
        <v>0</v>
      </c>
      <c r="F13" s="153"/>
      <c r="G13" s="109"/>
      <c r="H13" s="173" t="s">
        <v>189</v>
      </c>
      <c r="I13" s="96"/>
      <c r="J13" s="174"/>
    </row>
    <row r="14" spans="1:10" ht="18" customHeight="1" x14ac:dyDescent="0.25">
      <c r="A14" s="170">
        <f>'Reporte de Asistencia'!E51</f>
        <v>0</v>
      </c>
      <c r="B14" s="126"/>
      <c r="C14" s="158">
        <f>'Reporte de Asistencia'!A51</f>
        <v>0</v>
      </c>
      <c r="D14" s="159"/>
      <c r="E14" s="179">
        <f>Datos!B8</f>
        <v>0</v>
      </c>
      <c r="F14" s="180"/>
      <c r="G14" s="159"/>
      <c r="H14" s="175" t="s">
        <v>114</v>
      </c>
      <c r="I14" s="176"/>
      <c r="J14" s="177"/>
    </row>
    <row r="15" spans="1:10" x14ac:dyDescent="0.25">
      <c r="A15" s="178" t="s">
        <v>102</v>
      </c>
      <c r="B15" s="178"/>
      <c r="C15" s="178"/>
      <c r="D15" s="178"/>
      <c r="E15" s="178"/>
      <c r="F15" s="178" t="s">
        <v>190</v>
      </c>
      <c r="G15" s="178"/>
      <c r="H15" s="178"/>
      <c r="I15" s="178"/>
      <c r="J15" s="178"/>
    </row>
    <row r="16" spans="1:10" x14ac:dyDescent="0.25">
      <c r="A16" s="178"/>
      <c r="B16" s="178"/>
      <c r="C16" s="178"/>
      <c r="D16" s="178"/>
      <c r="E16" s="178"/>
      <c r="F16" s="178"/>
      <c r="G16" s="178"/>
      <c r="H16" s="178"/>
      <c r="I16" s="178"/>
      <c r="J16" s="178"/>
    </row>
    <row r="17" spans="1:10" x14ac:dyDescent="0.25">
      <c r="A17" s="160" t="s">
        <v>103</v>
      </c>
      <c r="B17" s="160"/>
      <c r="C17" s="73"/>
      <c r="D17" s="73"/>
      <c r="E17" s="74">
        <f>'Reporte de Asistencia'!D53</f>
        <v>0</v>
      </c>
      <c r="F17" s="146" t="s">
        <v>115</v>
      </c>
      <c r="G17" s="146"/>
      <c r="H17" s="146"/>
      <c r="I17" s="146"/>
      <c r="J17" s="70">
        <f>ROUND('Reporte de Asistencia'!H54,1)</f>
        <v>0</v>
      </c>
    </row>
    <row r="18" spans="1:10" x14ac:dyDescent="0.25">
      <c r="A18" s="160" t="s">
        <v>176</v>
      </c>
      <c r="B18" s="160"/>
      <c r="C18" s="160"/>
      <c r="D18" s="160"/>
      <c r="E18" s="75" t="s">
        <v>114</v>
      </c>
      <c r="F18" s="152" t="s">
        <v>194</v>
      </c>
      <c r="G18" s="152"/>
      <c r="H18" s="152"/>
      <c r="I18" s="152"/>
      <c r="J18" s="70">
        <f>ROUND('Reporte de Asistencia'!H55,1)</f>
        <v>0</v>
      </c>
    </row>
    <row r="19" spans="1:10" x14ac:dyDescent="0.25">
      <c r="A19" s="160" t="s">
        <v>177</v>
      </c>
      <c r="B19" s="160"/>
      <c r="C19" s="160"/>
      <c r="D19" s="160"/>
      <c r="E19" s="75" t="s">
        <v>114</v>
      </c>
      <c r="F19" s="146" t="s">
        <v>180</v>
      </c>
      <c r="G19" s="146"/>
      <c r="H19" s="146"/>
      <c r="I19" s="146"/>
      <c r="J19" s="76">
        <f>ROUND('Reporte de Asistencia'!H56,1)</f>
        <v>0</v>
      </c>
    </row>
    <row r="20" spans="1:10" x14ac:dyDescent="0.25">
      <c r="A20" s="146" t="s">
        <v>178</v>
      </c>
      <c r="B20" s="146"/>
      <c r="C20" s="146"/>
      <c r="D20" s="146"/>
      <c r="E20" s="75" t="s">
        <v>114</v>
      </c>
      <c r="F20" s="146" t="s">
        <v>181</v>
      </c>
      <c r="G20" s="146"/>
      <c r="H20" s="146"/>
      <c r="I20" s="146"/>
      <c r="J20" s="76">
        <f>ROUND('Reporte de Asistencia'!H57,1)</f>
        <v>0</v>
      </c>
    </row>
    <row r="21" spans="1:10" x14ac:dyDescent="0.25">
      <c r="A21" s="146" t="s">
        <v>179</v>
      </c>
      <c r="B21" s="146"/>
      <c r="C21" s="146"/>
      <c r="D21" s="146"/>
      <c r="E21" s="75" t="s">
        <v>114</v>
      </c>
      <c r="F21" s="146" t="s">
        <v>182</v>
      </c>
      <c r="G21" s="146"/>
      <c r="H21" s="146"/>
      <c r="I21" s="146"/>
      <c r="J21" s="50" t="s">
        <v>114</v>
      </c>
    </row>
    <row r="22" spans="1:10" x14ac:dyDescent="0.25">
      <c r="A22" s="50"/>
      <c r="F22" s="152"/>
      <c r="G22" s="152"/>
      <c r="H22" s="152"/>
      <c r="I22" s="152"/>
    </row>
    <row r="24" spans="1:10" x14ac:dyDescent="0.25">
      <c r="A24" s="49"/>
      <c r="B24" s="47"/>
      <c r="C24" s="47"/>
    </row>
    <row r="30" spans="1:10" x14ac:dyDescent="0.25">
      <c r="A30" s="148" t="s">
        <v>106</v>
      </c>
      <c r="B30" s="148"/>
      <c r="C30" s="148"/>
      <c r="D30" s="148"/>
      <c r="E30" s="42">
        <f>SUM(E17:E20)</f>
        <v>0</v>
      </c>
      <c r="F30" s="149" t="s">
        <v>107</v>
      </c>
      <c r="G30" s="150"/>
      <c r="H30" s="150"/>
      <c r="I30" s="151"/>
      <c r="J30" s="48">
        <f>ROUND(SUM(J17:J21),1)</f>
        <v>0</v>
      </c>
    </row>
    <row r="31" spans="1:10" x14ac:dyDescent="0.25">
      <c r="F31" s="148" t="s">
        <v>108</v>
      </c>
      <c r="G31" s="148"/>
      <c r="H31" s="148"/>
      <c r="I31" s="148"/>
      <c r="J31" s="46">
        <f>E30-J30</f>
        <v>0</v>
      </c>
    </row>
    <row r="45" spans="1:10" x14ac:dyDescent="0.25">
      <c r="A45" s="96" t="s">
        <v>109</v>
      </c>
      <c r="B45" s="96"/>
      <c r="C45" s="96"/>
      <c r="D45" s="96"/>
      <c r="G45" s="96" t="s">
        <v>110</v>
      </c>
      <c r="H45" s="96"/>
      <c r="I45" s="96"/>
      <c r="J45" s="96"/>
    </row>
    <row r="46" spans="1:10" x14ac:dyDescent="0.25">
      <c r="A46" s="94" t="s">
        <v>119</v>
      </c>
      <c r="B46" s="94"/>
      <c r="C46" s="94"/>
      <c r="D46" s="94"/>
      <c r="G46" s="94">
        <f>A10</f>
        <v>0</v>
      </c>
      <c r="H46" s="94"/>
      <c r="I46" s="94"/>
      <c r="J46" s="94"/>
    </row>
    <row r="47" spans="1:10" x14ac:dyDescent="0.25">
      <c r="A47" s="94" t="s">
        <v>160</v>
      </c>
      <c r="B47" s="94"/>
      <c r="C47" s="94"/>
      <c r="D47" s="94"/>
      <c r="G47" s="94">
        <f>B6</f>
        <v>0</v>
      </c>
      <c r="H47" s="94"/>
      <c r="I47" s="94"/>
      <c r="J47" s="94"/>
    </row>
    <row r="58" spans="1:3" x14ac:dyDescent="0.25">
      <c r="A58" s="147"/>
      <c r="B58" s="147"/>
      <c r="C58" s="71"/>
    </row>
    <row r="59" spans="1:3" x14ac:dyDescent="0.25">
      <c r="A59" s="147"/>
      <c r="B59" s="147"/>
      <c r="C59" s="71"/>
    </row>
    <row r="60" spans="1:3" x14ac:dyDescent="0.25">
      <c r="A60" s="147"/>
      <c r="B60" s="147"/>
      <c r="C60" s="71"/>
    </row>
    <row r="67" spans="1:2" x14ac:dyDescent="0.25">
      <c r="A67" t="s">
        <v>120</v>
      </c>
      <c r="B67" t="s">
        <v>124</v>
      </c>
    </row>
  </sheetData>
  <mergeCells count="65"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I12:J12"/>
    <mergeCell ref="I9:J9"/>
    <mergeCell ref="A12:B12"/>
    <mergeCell ref="C12:D12"/>
    <mergeCell ref="E12:F1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ALUMNO - JORGE BRIAN VELEZ DE VILLA ARISTA</cp:lastModifiedBy>
  <cp:lastPrinted>2024-04-19T22:04:00Z</cp:lastPrinted>
  <dcterms:created xsi:type="dcterms:W3CDTF">2021-11-24T13:34:33Z</dcterms:created>
  <dcterms:modified xsi:type="dcterms:W3CDTF">2025-07-04T20:39:40Z</dcterms:modified>
</cp:coreProperties>
</file>